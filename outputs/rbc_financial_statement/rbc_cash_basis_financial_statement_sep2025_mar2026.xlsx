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0d2810833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f6dcec82154830"/>
    <x:sheet xmlns:r="http://schemas.openxmlformats.org/officeDocument/2006/relationships" name="Monthly Statement" sheetId="2" r:id="Rb0c5f5bb2c4a4eae"/>
    <x:sheet xmlns:r="http://schemas.openxmlformats.org/officeDocument/2006/relationships" name="Transactions" sheetId="3" r:id="Rf7aa554e759a473e"/>
    <x:sheet xmlns:r="http://schemas.openxmlformats.org/officeDocument/2006/relationships" name="Checks" sheetId="4" r:id="R08d126b400cc4404"/>
    <x:sheet xmlns:r="http://schemas.openxmlformats.org/officeDocument/2006/relationships" name="Sources" sheetId="5" r:id="Rd6808b640cab42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;[Red]($#,##0.00);-"/>
    <x:numFmt numFmtId="201" formatCode="#,##0"/>
    <x:numFmt numFmtId="202" formatCode="yyyy-mm-dd"/>
  </x:numFmts>
  <x:fonts count="8">
    <x:font>
      <x:sz val="11"/>
      <x:name val="Carlito"/>
    </x:font>
    <x:font>
      <x:sz val="10"/>
      <x:color rgb="1F2937"/>
      <x:name val="Aptos"/>
    </x:font>
    <x:font>
      <x:b/>
      <x:sz val="16"/>
      <x:color rgb="FFFFFF"/>
      <x:name val="Aptos"/>
    </x:font>
    <x:font>
      <x:i/>
      <x:sz val="11"/>
      <x:color rgb="44546A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17365D"/>
      <x:name val="Carlito"/>
    </x:font>
    <x:font>
      <x:b/>
      <x:sz val="11"/>
      <x:color rgb="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F2F7FB"/>
      </x:patternFill>
    </x:fill>
    <x:fill>
      <x:patternFill patternType="solid">
        <x:fgColor rgb="244062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19">
    <x:border/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  <x:border>
      <x:left style="thin">
        <x:color rgb="A6BDD7"/>
      </x:left>
      <x:top style="thin">
        <x:color rgb="A6BDD7"/>
      </x:top>
      <x:bottom style="thin">
        <x:color rgb="A6BDD7"/>
      </x:bottom>
    </x:border>
    <x:border>
      <x:top style="thin">
        <x:color rgb="A6BDD7"/>
      </x:top>
      <x:bottom style="thin">
        <x:color rgb="A6BDD7"/>
      </x:bottom>
    </x:border>
    <x:border>
      <x:right style="thin">
        <x:color rgb="A6BDD7"/>
      </x:right>
      <x:top style="thin">
        <x:color rgb="A6BDD7"/>
      </x:top>
      <x:bottom style="thin">
        <x:color rgb="A6BDD7"/>
      </x:bottom>
    </x:border>
    <x:border>
      <x:left style="thin">
        <x:color rgb="B7C9DD"/>
      </x:left>
      <x:top style="thin">
        <x:color rgb="B7C9DD"/>
      </x:top>
    </x:border>
    <x:border>
      <x:right style="thin">
        <x:color rgb="B7C9DD"/>
      </x:right>
      <x:top style="thin">
        <x:color rgb="B7C9DD"/>
      </x:top>
    </x:border>
    <x:border>
      <x:left style="thin">
        <x:color rgb="B7C9DD"/>
      </x:left>
    </x:border>
    <x:border>
      <x:right style="thin">
        <x:color rgb="B7C9DD"/>
      </x:right>
    </x:border>
    <x:border>
      <x:left style="thin">
        <x:color rgb="B7C9DD"/>
      </x:left>
      <x:bottom style="thin">
        <x:color rgb="B7C9DD"/>
      </x:bottom>
    </x:border>
    <x:border>
      <x:right style="thin">
        <x:color rgb="B7C9DD"/>
      </x:right>
      <x:bottom style="thin">
        <x:color rgb="B7C9DD"/>
      </x:bottom>
    </x:border>
    <x:border>
      <x:left style="thin">
        <x:color rgb="D6B656"/>
      </x:left>
      <x:top style="thin">
        <x:color rgb="D6B656"/>
      </x:top>
    </x:border>
    <x:border>
      <x:top style="thin">
        <x:color rgb="D6B656"/>
      </x:top>
    </x:border>
    <x:border>
      <x:right style="thin">
        <x:color rgb="D6B656"/>
      </x:right>
      <x:top style="thin">
        <x:color rgb="D6B656"/>
      </x:top>
    </x:border>
    <x:border>
      <x:left style="thin">
        <x:color rgb="D6B656"/>
      </x:left>
    </x:border>
    <x:border>
      <x:right style="thin">
        <x:color rgb="D6B656"/>
      </x:right>
    </x:border>
    <x:border>
      <x:left style="thin">
        <x:color rgb="D6B656"/>
      </x:left>
      <x:bottom style="thin">
        <x:color rgb="D6B656"/>
      </x:bottom>
    </x:border>
    <x:border>
      <x:bottom style="thin">
        <x:color rgb="D6B656"/>
      </x:bottom>
    </x:border>
    <x:border>
      <x:right style="thin">
        <x:color rgb="D6B656"/>
      </x:right>
      <x:bottom style="thin">
        <x:color rgb="D6B656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0"/>
    </x:xf>
    <x:xf numFmtId="0" fontId="5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6" fillId="3" borderId="5" xfId="0" applyNumberFormat="1" applyFont="1" applyFill="1" applyBorder="1"/>
    <x:xf numFmtId="0" fontId="6" fillId="3" borderId="7" xfId="0" applyNumberFormat="1" applyFont="1" applyFill="1" applyBorder="1"/>
    <x:xf numFmtId="0" fontId="6" fillId="3" borderId="9" xfId="0" applyNumberFormat="1" applyFont="1" applyFill="1" applyBorder="1"/>
    <x:xf numFmtId="200" fontId="0" fillId="3" borderId="6" xfId="0" applyNumberFormat="1" applyFont="1" applyFill="1" applyBorder="1"/>
    <x:xf numFmtId="200" fontId="0" fillId="3" borderId="8" xfId="0" applyNumberFormat="1" applyFont="1" applyFill="1" applyBorder="1"/>
    <x:xf numFmtId="200" fontId="0" fillId="3" borderId="10" xfId="0" applyNumberFormat="1" applyFont="1" applyFill="1" applyBorder="1"/>
    <x:xf numFmtId="201" fontId="0" fillId="3" borderId="6" xfId="0" applyNumberFormat="1" applyFont="1" applyFill="1" applyBorder="1"/>
    <x:xf numFmtId="201" fontId="0" fillId="3" borderId="8" xfId="0" applyNumberFormat="1" applyFont="1" applyFill="1" applyBorder="1"/>
    <x:xf numFmtId="201" fontId="0" fillId="3" borderId="1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7" fillId="6" borderId="11" xfId="0" applyNumberFormat="1" applyFont="1" applyFill="1" applyBorder="1"/>
    <x:xf numFmtId="0" fontId="0" fillId="6" borderId="12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375623"/>
      </x:font>
      <x:fill>
        <x:patternFill patternType="solid">
          <x:bgColor rgb="E2F0D9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f6aafddb149b2" /><Relationship Type="http://schemas.openxmlformats.org/officeDocument/2006/relationships/theme" Target="/xl/theme/theme1.xml" Id="R87cb9d71501f4544" /><Relationship Type="http://schemas.openxmlformats.org/officeDocument/2006/relationships/sharedStrings" Target="/xl/sharedStrings.xml" Id="Rc9a9da5ff91848af" /><Relationship Type="http://schemas.openxmlformats.org/officeDocument/2006/relationships/worksheet" Target="/xl/worksheets/sheet1.xml" Id="R18f6dcec82154830" /><Relationship Type="http://schemas.openxmlformats.org/officeDocument/2006/relationships/worksheet" Target="/xl/worksheets/sheet2.xml" Id="Rb0c5f5bb2c4a4eae" /><Relationship Type="http://schemas.openxmlformats.org/officeDocument/2006/relationships/worksheet" Target="/xl/worksheets/sheet3.xml" Id="Rf7aa554e759a473e" /><Relationship Type="http://schemas.openxmlformats.org/officeDocument/2006/relationships/worksheet" Target="/xl/worksheets/sheet4.xml" Id="R08d126b400cc4404" /><Relationship Type="http://schemas.openxmlformats.org/officeDocument/2006/relationships/worksheet" Target="/xl/worksheets/sheet5.xml" Id="Rd6808b640cab42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81f1c13e8f46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Cash Activity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Receipts</c:v>
          </c:tx>
          <c:cat>
            <c:strRef>
              <c:f>'Summary'!$A$30:$A$35</c:f>
              <c:strCache>
                <c:ptCount val="0"/>
              </c:strCache>
            </c:strRef>
          </c:cat>
          <c:val>
            <c:numRef>
              <c:f>'Summary'!$B$30:$B$35</c:f>
              <c:numCache>
                <c:formatCode>$#,##0.00;[Red]($#,##0.00);-</c:formatCode>
                <c:ptCount val="0"/>
              </c:numCache>
            </c:numRef>
          </c:val>
        </c:ser>
        <c:ser>
          <c:idx val="1"/>
          <c:order val="1"/>
          <c:tx>
            <c:v>Payments</c:v>
          </c:tx>
          <c:cat>
            <c:strRef>
              <c:f>'Summary'!$A$30:$A$35</c:f>
              <c:strCache>
                <c:ptCount val="0"/>
              </c:strCache>
            </c:strRef>
          </c:cat>
          <c:val>
            <c:numRef>
              <c:f>'Summary'!$C$30:$C$35</c:f>
              <c:numCache>
                <c:formatCode>$#,##0.00;[Red]($#,##0.00);-</c:formatCode>
                <c:ptCount val="0"/>
              </c:numCache>
            </c:numRef>
          </c:val>
        </c:ser>
        <c:ser>
          <c:idx val="2"/>
          <c:order val="2"/>
          <c:tx>
            <c:v>Net Movement</c:v>
          </c:tx>
          <c:cat>
            <c:strRef>
              <c:f>'Summary'!$A$30:$A$35</c:f>
              <c:strCache>
                <c:ptCount val="0"/>
              </c:strCache>
            </c:strRef>
          </c:cat>
          <c:val>
            <c:numRef>
              <c:f>'Summary'!$D$30:$D$35</c:f>
              <c:numCache>
                <c:formatCode>$#,##0.00;[Red]($#,##0.00);-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7144">
              <a:solidFill>
                <a:srgbClr val="D9E2F3"/>
              </a:solidFill>
              <a:prstDash val="solid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CAD $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/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11</xdr:row>
      <xdr:rowOff>0</xdr:rowOff>
    </xdr:from>
    <xdr:ext cx="4953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81f1c13e8f469e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f1a471fc1a47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70000076293945" hidden="0" customWidth="1"/>
    <x:col min="2" max="2" width="26.239999771118164" hidden="0" customWidth="1"/>
    <x:col min="3" max="3" width="20.190000534057617" hidden="0" customWidth="1"/>
    <x:col min="4" max="4" width="26.920000076293945" hidden="0" customWidth="1"/>
    <x:col min="5" max="5" width="24.899999618530273" hidden="0" customWidth="1"/>
    <x:col min="7" max="7" width="17.5" hidden="0" customWidth="1"/>
    <x:col min="8" max="8" width="12.109999656677246" hidden="0" customWidth="1"/>
    <x:col min="6" max="6" width="11.4399995803833" hidden="0" customWidth="1"/>
    <x:col min="9" max="9" width="12.109999656677246" hidden="0" customWidth="1"/>
    <x:col min="10" max="10" width="12.109999656677246" hidden="0" customWidth="1"/>
    <x:col min="11" max="11" width="12.109999656677246" hidden="0" customWidth="1"/>
  </x:cols>
  <x:sheetData>
    <x:row r="1" ht="25.5" customHeight="1">
      <x:c r="A1" s="4" t="str">
        <x:v>Cash-Basis Financial Statement from RBC Statements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6" t="str">
        <x:v>Company</x:v>
      </x:c>
      <x:c r="B3" s="11" t="str">
        <x:v>97146 NEWFOUNDLAND &amp; LABRADOR LTD.</x:v>
      </x:c>
      <x:c r="C3" s="11" t="str"/>
      <x:c r="D3" s="16" t="str">
        <x:v>Statement Basis</x:v>
      </x:c>
      <x:c r="E3" s="11" t="str">
        <x:v>Cash basis from RBC bank statements</x:v>
      </x:c>
      <x:c r="F3" s="11" t="str"/>
      <x:c r="G3" s="16" t="str">
        <x:v>Source Period</x:v>
      </x:c>
      <x:c r="H3" s="11" t="str">
        <x:v>2025-09-24 to 2026-03-24</x:v>
      </x:c>
      <x:c r="I3" s="11"/>
      <x:c r="J3" s="11"/>
      <x:c r="K3" s="11"/>
    </x:row>
    <x:row r="4">
      <x:c r="A4" s="16" t="str">
        <x:v>Account</x:v>
      </x:c>
      <x:c r="B4" s="11" t="str">
        <x:v>02105 ***-***-5</x:v>
      </x:c>
      <x:c r="C4" s="11" t="str"/>
      <x:c r="D4" s="16" t="str">
        <x:v>Generated</x:v>
      </x:c>
      <x:c r="E4" s="14" t="n">
        <x:v>46146.59367206018</x:v>
      </x:c>
      <x:c r="F4" s="11" t="str"/>
      <x:c r="G4" s="16" t="str">
        <x:v>Review Status</x:v>
      </x:c>
      <x:c r="H4" s="11" t="str">
        <x:f>IF(COUNTIF(Checks!G:G,"Review")=0,"OK","Review")</x:f>
        <x:v>OK</x:v>
      </x:c>
      <x:c r="I4" s="11"/>
      <x:c r="J4" s="11"/>
      <x:c r="K4" s="11"/>
    </x:row>
    <x:row r="6" ht="21" customHeight="1">
      <x:c r="A6" s="30" t="str">
        <x:v>Beginning Cash</x:v>
      </x:c>
      <x:c r="B6" s="33" t="n">
        <x:f>'Monthly Statement'!C6</x:f>
        <x:v>10091.54</x:v>
      </x:c>
      <x:c r="D6" s="30" t="str">
        <x:v>Receipts Count</x:v>
      </x:c>
      <x:c r="E6" s="36" t="n">
        <x:f>SUM('Monthly Statement'!H6:H11)</x:f>
        <x:v>6</x:v>
      </x:c>
    </x:row>
    <x:row r="7" ht="21" customHeight="1">
      <x:c r="A7" s="31" t="str">
        <x:v>Total Receipts</x:v>
      </x:c>
      <x:c r="B7" s="34" t="n">
        <x:f>SUM('Monthly Statement'!D6:D11)</x:f>
        <x:v>10295.7</x:v>
      </x:c>
      <x:c r="D7" s="31" t="str">
        <x:v>Debit Count</x:v>
      </x:c>
      <x:c r="E7" s="37" t="n">
        <x:f>SUM('Monthly Statement'!I6:I11)</x:f>
        <x:v>10</x:v>
      </x:c>
    </x:row>
    <x:row r="8" ht="21" customHeight="1">
      <x:c r="A8" s="31" t="str">
        <x:v>Total Payments</x:v>
      </x:c>
      <x:c r="B8" s="34" t="n">
        <x:f>SUM('Monthly Statement'!E6:E11)</x:f>
        <x:v>211.2</x:v>
      </x:c>
      <x:c r="D8" s="31" t="str">
        <x:v>Bank Fees</x:v>
      </x:c>
      <x:c r="E8" s="34" t="n">
        <x:f>SUMIF(Transactions!E:E,"Bank fees",Transactions!F:F)</x:f>
        <x:v>36</x:v>
      </x:c>
    </x:row>
    <x:row r="9" ht="21" customHeight="1">
      <x:c r="A9" s="31" t="str">
        <x:v>Net Cash Movement</x:v>
      </x:c>
      <x:c r="B9" s="34" t="n">
        <x:f>B7-B8</x:f>
        <x:v>10084.5</x:v>
      </x:c>
      <x:c r="D9" s="31" t="str">
        <x:v>e-Transfer Sent</x:v>
      </x:c>
      <x:c r="E9" s="34" t="n">
        <x:f>SUMIF(Transactions!E:E,"e-Transfer sent",Transactions!F:F)</x:f>
        <x:v>175.2</x:v>
      </x:c>
    </x:row>
    <x:row r="10" ht="21" customHeight="1">
      <x:c r="A10" s="32" t="str">
        <x:v>Ending Cash</x:v>
      </x:c>
      <x:c r="B10" s="35" t="n">
        <x:f>'Monthly Statement'!G11</x:f>
        <x:v>20176.04</x:v>
      </x:c>
      <x:c r="D10" s="32" t="str">
        <x:v>Statements Used</x:v>
      </x:c>
      <x:c r="E10" s="38" t="n">
        <x:f>COUNTA(Sources!A6:A11)</x:f>
        <x:v>6</x:v>
      </x:c>
    </x:row>
    <x:row r="12">
      <x:c r="A12" s="20" t="str">
        <x:v>Cash-Basis Statement of Receipts and Payments</x:v>
      </x:c>
      <x:c r="B12" s="21" t="str"/>
      <x:c r="C12" s="21" t="str"/>
      <x:c r="D12" s="22" t="str"/>
    </x:row>
    <x:row r="13" ht="25.5" customHeight="1">
      <x:c r="A13" s="10" t="str">
        <x:v>Line Item</x:v>
      </x:c>
      <x:c r="B13" s="10" t="str">
        <x:v>Amount ($)</x:v>
      </x:c>
      <x:c r="C13" s="10" t="str">
        <x:v>Source</x:v>
      </x:c>
      <x:c r="D13" s="10" t="str">
        <x:v>Notes</x:v>
      </x:c>
    </x:row>
    <x:row r="14" ht="18" customHeight="1">
      <x:c r="A14" s="11" t="str">
        <x:v>Receipts / deposits from bank activity</x:v>
      </x:c>
      <x:c r="B14" s="12" t="n">
        <x:f>SUMIF(Transactions!E:E,"Receipts - Misc Payment",Transactions!G:G)</x:f>
        <x:v>10295.7</x:v>
      </x:c>
      <x:c r="C14" s="11" t="str">
        <x:v>Transactions</x:v>
      </x:c>
      <x:c r="D14" s="39" t="str">
        <x:v>Credits shown in RBC statements</x:v>
      </x:c>
    </x:row>
    <x:row r="15" ht="18" customHeight="1">
      <x:c r="A15" s="11" t="str">
        <x:v>Bank service charges</x:v>
      </x:c>
      <x:c r="B15" s="12" t="n">
        <x:f>-SUMIF(Transactions!E:E,"Bank fees",Transactions!F:F)</x:f>
        <x:v>-36</x:v>
      </x:c>
      <x:c r="C15" s="11" t="str">
        <x:v>Transactions</x:v>
      </x:c>
      <x:c r="D15" s="39" t="str">
        <x:v>Monthly RBC account fees</x:v>
      </x:c>
    </x:row>
    <x:row r="16" ht="18" customHeight="1">
      <x:c r="A16" s="11" t="str">
        <x:v>e-Transfer payments sent</x:v>
      </x:c>
      <x:c r="B16" s="12" t="n">
        <x:f>-SUMIF(Transactions!E:E,"e-Transfer sent",Transactions!F:F)</x:f>
        <x:v>-175.2</x:v>
      </x:c>
      <x:c r="C16" s="11" t="str">
        <x:v>Transactions</x:v>
      </x:c>
      <x:c r="D16" s="39" t="str">
        <x:v>Cash outflows from e-Transfers</x:v>
      </x:c>
    </x:row>
    <x:row r="17" ht="18" customHeight="1">
      <x:c r="A17" s="11" t="str">
        <x:v>Total payments / cash outflows</x:v>
      </x:c>
      <x:c r="B17" s="12" t="n">
        <x:f>SUM(B15:B16)</x:f>
        <x:v>-211.2</x:v>
      </x:c>
      <x:c r="C17" s="11" t="str">
        <x:v>Formula</x:v>
      </x:c>
      <x:c r="D17" s="39" t="str">
        <x:v>Bank fees plus e-Transfers</x:v>
      </x:c>
    </x:row>
    <x:row r="18" ht="18" customHeight="1">
      <x:c r="A18" s="11" t="str">
        <x:v>Net cash income / increase in cash</x:v>
      </x:c>
      <x:c r="B18" s="12" t="n">
        <x:f>B14+B17</x:f>
        <x:v>10084.5</x:v>
      </x:c>
      <x:c r="C18" s="11" t="str">
        <x:v>Formula</x:v>
      </x:c>
      <x:c r="D18" s="39" t="str">
        <x:v>Receipts less payments</x:v>
      </x:c>
    </x:row>
    <x:row r="21">
      <x:c r="A21" s="20" t="str">
        <x:v>Statement of Cash Position</x:v>
      </x:c>
      <x:c r="B21" s="21" t="str"/>
      <x:c r="C21" s="21" t="str"/>
      <x:c r="D21" s="22" t="str"/>
    </x:row>
    <x:row r="22" ht="25.5" customHeight="1">
      <x:c r="A22" s="10" t="str">
        <x:v>Line Item</x:v>
      </x:c>
      <x:c r="B22" s="10" t="str">
        <x:v>Amount ($)</x:v>
      </x:c>
      <x:c r="C22" s="10" t="str">
        <x:v>Source</x:v>
      </x:c>
      <x:c r="D22" s="10" t="str">
        <x:v>Notes</x:v>
      </x:c>
    </x:row>
    <x:row r="23" ht="18" customHeight="1">
      <x:c r="A23" s="11" t="str">
        <x:v>Cash at beginning of period</x:v>
      </x:c>
      <x:c r="B23" s="12" t="n">
        <x:f>B6</x:f>
        <x:v>10091.54</x:v>
      </x:c>
      <x:c r="C23" s="11" t="str">
        <x:v>Monthly Statement</x:v>
      </x:c>
      <x:c r="D23" s="39" t="str">
        <x:v>Opening balance from first statement</x:v>
      </x:c>
    </x:row>
    <x:row r="24" ht="18" customHeight="1">
      <x:c r="A24" s="11" t="str">
        <x:v>Net cash movement</x:v>
      </x:c>
      <x:c r="B24" s="12" t="n">
        <x:f>B9</x:f>
        <x:v>10084.5</x:v>
      </x:c>
      <x:c r="C24" s="11" t="str">
        <x:v>Formula</x:v>
      </x:c>
      <x:c r="D24" s="39" t="str">
        <x:v>Receipts less payments</x:v>
      </x:c>
    </x:row>
    <x:row r="25" ht="18" customHeight="1">
      <x:c r="A25" s="11" t="str">
        <x:v>Cash at end of period</x:v>
      </x:c>
      <x:c r="B25" s="12" t="n">
        <x:f>B10</x:f>
        <x:v>20176.04</x:v>
      </x:c>
      <x:c r="C25" s="11" t="str">
        <x:v>Monthly Statement</x:v>
      </x:c>
      <x:c r="D25" s="39" t="str">
        <x:v>Closing balance from final statement</x:v>
      </x:c>
    </x:row>
    <x:row r="28">
      <x:c r="A28" s="20" t="str">
        <x:v>Chart Data</x:v>
      </x:c>
      <x:c r="B28" s="21" t="str"/>
      <x:c r="C28" s="21" t="str"/>
      <x:c r="D28" s="22" t="str"/>
    </x:row>
    <x:row r="29" ht="25.5" customHeight="1">
      <x:c r="A29" s="10" t="str">
        <x:v>Statement Month</x:v>
      </x:c>
      <x:c r="B29" s="10" t="str">
        <x:v>Receipts</x:v>
      </x:c>
      <x:c r="C29" s="10" t="str">
        <x:v>Payments</x:v>
      </x:c>
      <x:c r="D29" s="10" t="str">
        <x:v>Net Movement</x:v>
      </x:c>
    </x:row>
    <x:row r="30" ht="18" customHeight="1">
      <x:c r="A30" s="11" t="str">
        <x:v>Oct 2025</x:v>
      </x:c>
      <x:c r="B30" s="12" t="n">
        <x:f>'Monthly Statement'!D6</x:f>
        <x:v>7280</x:v>
      </x:c>
      <x:c r="C30" s="12" t="n">
        <x:f>-'Monthly Statement'!E6</x:f>
        <x:v>-6</x:v>
      </x:c>
      <x:c r="D30" s="12" t="n">
        <x:f>'Monthly Statement'!F6</x:f>
        <x:v>7274</x:v>
      </x:c>
    </x:row>
    <x:row r="31" ht="18" customHeight="1">
      <x:c r="A31" s="11" t="str">
        <x:v>Nov 2025</x:v>
      </x:c>
      <x:c r="B31" s="12" t="n">
        <x:f>'Monthly Statement'!D7</x:f>
        <x:v>1730</x:v>
      </x:c>
      <x:c r="C31" s="12" t="n">
        <x:f>-'Monthly Statement'!E7</x:f>
        <x:v>-6</x:v>
      </x:c>
      <x:c r="D31" s="12" t="n">
        <x:f>'Monthly Statement'!F7</x:f>
        <x:v>1724</x:v>
      </x:c>
    </x:row>
    <x:row r="32" ht="18" customHeight="1">
      <x:c r="A32" s="11" t="str">
        <x:v>Dec 2025</x:v>
      </x:c>
      <x:c r="B32" s="12" t="n">
        <x:f>'Monthly Statement'!D8</x:f>
        <x:v>550</x:v>
      </x:c>
      <x:c r="C32" s="12" t="n">
        <x:f>-'Monthly Statement'!E8</x:f>
        <x:v>-6</x:v>
      </x:c>
      <x:c r="D32" s="12" t="n">
        <x:f>'Monthly Statement'!F8</x:f>
        <x:v>544</x:v>
      </x:c>
    </x:row>
    <x:row r="33" ht="18" customHeight="1">
      <x:c r="A33" s="11" t="str">
        <x:v>Jan 2026</x:v>
      </x:c>
      <x:c r="B33" s="12" t="n">
        <x:f>'Monthly Statement'!D9</x:f>
        <x:v>200</x:v>
      </x:c>
      <x:c r="C33" s="12" t="n">
        <x:f>-'Monthly Statement'!E9</x:f>
        <x:v>-6</x:v>
      </x:c>
      <x:c r="D33" s="12" t="n">
        <x:f>'Monthly Statement'!F9</x:f>
        <x:v>194</x:v>
      </x:c>
    </x:row>
    <x:row r="34" ht="18" customHeight="1">
      <x:c r="A34" s="11" t="str">
        <x:v>Feb 2026</x:v>
      </x:c>
      <x:c r="B34" s="12" t="n">
        <x:f>'Monthly Statement'!D10</x:f>
        <x:v>535.7</x:v>
      </x:c>
      <x:c r="C34" s="12" t="n">
        <x:f>-'Monthly Statement'!E10</x:f>
        <x:v>-181.2</x:v>
      </x:c>
      <x:c r="D34" s="12" t="n">
        <x:f>'Monthly Statement'!F10</x:f>
        <x:v>354.50000000000006</x:v>
      </x:c>
    </x:row>
    <x:row r="35" ht="18" customHeight="1">
      <x:c r="A35" s="11" t="str">
        <x:v>Mar 2026</x:v>
      </x:c>
      <x:c r="B35" s="12" t="n">
        <x:f>'Monthly Statement'!D11</x:f>
        <x:v>0</x:v>
      </x:c>
      <x:c r="C35" s="12" t="n">
        <x:f>-'Monthly Statement'!E11</x:f>
        <x:v>-6</x:v>
      </x:c>
      <x:c r="D35" s="12" t="n">
        <x:f>'Monthly Statement'!F11</x:f>
        <x:v>-6</x:v>
      </x:c>
    </x:row>
    <x:row r="38" ht="21" customHeight="1">
      <x:c r="A38" s="49" t="str">
        <x:v>Important note</x:v>
      </x:c>
      <x:c r="B38" s="50" t="str">
        <x:v>This workbook is a factual cash-basis summary of the RBC bank statements provided. It is not an accrual financial statement, tax filing, compilation, review, or audit.</x:v>
      </x:c>
      <x:c r="C38" s="42"/>
      <x:c r="D38" s="42"/>
      <x:c r="E38" s="43"/>
    </x:row>
    <x:row r="39" ht="21" customHeight="1">
      <x:c r="A39" s="44"/>
      <x:c r="B39" s="40"/>
      <x:c r="C39" s="40"/>
      <x:c r="D39" s="40"/>
      <x:c r="E39" s="45"/>
    </x:row>
    <x:row r="40" ht="21" customHeight="1">
      <x:c r="A40" s="46"/>
      <x:c r="B40" s="47"/>
      <x:c r="C40" s="47"/>
      <x:c r="D40" s="47"/>
      <x:c r="E40" s="48"/>
    </x:row>
  </x:sheetData>
  <x:mergeCells>
    <x:mergeCell ref="A1:K1"/>
    <x:mergeCell ref="B3:C3"/>
    <x:mergeCell ref="E3:F3"/>
    <x:mergeCell ref="H3:K3"/>
    <x:mergeCell ref="B4:C4"/>
    <x:mergeCell ref="E4:F4"/>
    <x:mergeCell ref="H4:K4"/>
    <x:mergeCell ref="B38:E40"/>
  </x:mergeCells>
  <x:pageMargins left="0.7" right="0.7" top="0.75" bottom="0.75" header="0.3" footer="0.3"/>
  <x:drawing xmlns:r="http://schemas.openxmlformats.org/officeDocument/2006/relationships" r:id="Rbdf1a471fc1a47b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70000076293945" hidden="0" customWidth="1"/>
    <x:col min="2" max="2" width="26.239999771118164" hidden="0" customWidth="1"/>
    <x:col min="3" max="3" width="15.210000038146973" hidden="0" customWidth="1"/>
    <x:col min="4" max="4" width="15.210000038146973" hidden="0" customWidth="1"/>
    <x:col min="5" max="5" width="15.210000038146973" hidden="0" customWidth="1"/>
    <x:col min="6" max="6" width="15.210000038146973" hidden="0" customWidth="1"/>
    <x:col min="7" max="7" width="15.210000038146973" hidden="0" customWidth="1"/>
    <x:col min="8" max="8" width="15.210000038146973" hidden="0" customWidth="1"/>
    <x:col min="9" max="9" width="15.210000038146973" hidden="0" customWidth="1"/>
    <x:col min="10" max="10" width="15.210000038146973" hidden="0" customWidth="1"/>
  </x:cols>
  <x:sheetData>
    <x:row r="1" ht="25.5" customHeight="1">
      <x:c r="A1" s="4" t="str">
        <x:v>Monthly Source Statement Rollforward</x:v>
      </x:c>
      <x:c r="B1" s="4"/>
      <x:c r="C1" s="4"/>
      <x:c r="D1" s="4"/>
      <x:c r="E1" s="4"/>
      <x:c r="F1" s="4"/>
      <x:c r="G1" s="4"/>
      <x:c r="H1" s="4"/>
      <x:c r="I1" s="4"/>
      <x:c r="J1" s="4"/>
      <x:c r="K1" s="1"/>
    </x:row>
    <x:row r="3">
      <x:c r="A3" s="6" t="str">
        <x:v>Each row ties to one RBC PDF statement. Debits are presented as positive outflows.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5" ht="25.5" customHeight="1">
      <x:c r="A5" s="10" t="str">
        <x:v>Source File</x:v>
      </x:c>
      <x:c r="B5" s="10" t="str">
        <x:v>Statement Period</x:v>
      </x:c>
      <x:c r="C5" s="10" t="str">
        <x:v>Opening Balance</x:v>
      </x:c>
      <x:c r="D5" s="10" t="str">
        <x:v>Deposits &amp; Credits</x:v>
      </x:c>
      <x:c r="E5" s="10" t="str">
        <x:v>Cheques &amp; Debits</x:v>
      </x:c>
      <x:c r="F5" s="10" t="str">
        <x:v>Net Movement</x:v>
      </x:c>
      <x:c r="G5" s="10" t="str">
        <x:v>Closing Balance</x:v>
      </x:c>
      <x:c r="H5" s="10" t="str">
        <x:v>Deposit Count</x:v>
      </x:c>
      <x:c r="I5" s="10" t="str">
        <x:v>Debit Count</x:v>
      </x:c>
      <x:c r="J5" s="10" t="str">
        <x:v>Rollforward Difference</x:v>
      </x:c>
    </x:row>
    <x:row r="6" ht="18" customHeight="1">
      <x:c r="A6" s="11" t="str">
        <x:v>Sep 2025(1).pdf</x:v>
      </x:c>
      <x:c r="B6" s="11" t="str">
        <x:v>2025-09-24 to 2025-10-24</x:v>
      </x:c>
      <x:c r="C6" s="12" t="n">
        <x:v>10091.54</x:v>
      </x:c>
      <x:c r="D6" s="12" t="n">
        <x:v>7280</x:v>
      </x:c>
      <x:c r="E6" s="12" t="n">
        <x:v>6</x:v>
      </x:c>
      <x:c r="F6" s="12" t="n">
        <x:f>D6-E6</x:f>
        <x:v>7274</x:v>
      </x:c>
      <x:c r="G6" s="12" t="n">
        <x:v>17365.54</x:v>
      </x:c>
      <x:c r="H6" s="13" t="n">
        <x:v>2</x:v>
      </x:c>
      <x:c r="I6" s="13" t="n">
        <x:v>1</x:v>
      </x:c>
      <x:c r="J6" s="12" t="n">
        <x:f>ROUND(C6+D6-E6-G6,2)</x:f>
        <x:v>0</x:v>
      </x:c>
    </x:row>
    <x:row r="7" ht="18" customHeight="1">
      <x:c r="A7" s="11" t="str">
        <x:v>Oct 2025.pdf</x:v>
      </x:c>
      <x:c r="B7" s="11" t="str">
        <x:v>2025-10-24 to 2025-11-24</x:v>
      </x:c>
      <x:c r="C7" s="12" t="n">
        <x:v>17365.54</x:v>
      </x:c>
      <x:c r="D7" s="12" t="n">
        <x:v>1730</x:v>
      </x:c>
      <x:c r="E7" s="12" t="n">
        <x:v>6</x:v>
      </x:c>
      <x:c r="F7" s="12" t="n">
        <x:f>D7-E7</x:f>
        <x:v>1724</x:v>
      </x:c>
      <x:c r="G7" s="12" t="n">
        <x:v>19089.54</x:v>
      </x:c>
      <x:c r="H7" s="13" t="n">
        <x:v>1</x:v>
      </x:c>
      <x:c r="I7" s="13" t="n">
        <x:v>1</x:v>
      </x:c>
      <x:c r="J7" s="12" t="n">
        <x:f>ROUND(C7+D7-E7-G7,2)</x:f>
        <x:v>0</x:v>
      </x:c>
    </x:row>
    <x:row r="8" ht="18" customHeight="1">
      <x:c r="A8" s="11" t="str">
        <x:v>Nov 2025(1).pdf</x:v>
      </x:c>
      <x:c r="B8" s="11" t="str">
        <x:v>2025-11-24 to 2025-12-24</x:v>
      </x:c>
      <x:c r="C8" s="12" t="n">
        <x:v>19089.54</x:v>
      </x:c>
      <x:c r="D8" s="12" t="n">
        <x:v>550</x:v>
      </x:c>
      <x:c r="E8" s="12" t="n">
        <x:v>6</x:v>
      </x:c>
      <x:c r="F8" s="12" t="n">
        <x:f>D8-E8</x:f>
        <x:v>544</x:v>
      </x:c>
      <x:c r="G8" s="12" t="n">
        <x:v>19633.54</x:v>
      </x:c>
      <x:c r="H8" s="13" t="n">
        <x:v>1</x:v>
      </x:c>
      <x:c r="I8" s="13" t="n">
        <x:v>1</x:v>
      </x:c>
      <x:c r="J8" s="12" t="n">
        <x:f>ROUND(C8+D8-E8-G8,2)</x:f>
        <x:v>0</x:v>
      </x:c>
    </x:row>
    <x:row r="9" ht="18" customHeight="1">
      <x:c r="A9" s="11" t="str">
        <x:v>Dec 2025(1).pdf</x:v>
      </x:c>
      <x:c r="B9" s="11" t="str">
        <x:v>2025-12-24 to 2026-01-23</x:v>
      </x:c>
      <x:c r="C9" s="12" t="n">
        <x:v>19633.54</x:v>
      </x:c>
      <x:c r="D9" s="12" t="n">
        <x:v>200</x:v>
      </x:c>
      <x:c r="E9" s="12" t="n">
        <x:v>6</x:v>
      </x:c>
      <x:c r="F9" s="12" t="n">
        <x:f>D9-E9</x:f>
        <x:v>194</x:v>
      </x:c>
      <x:c r="G9" s="12" t="n">
        <x:v>19827.54</x:v>
      </x:c>
      <x:c r="H9" s="13" t="n">
        <x:v>1</x:v>
      </x:c>
      <x:c r="I9" s="13" t="n">
        <x:v>1</x:v>
      </x:c>
      <x:c r="J9" s="12" t="n">
        <x:f>ROUND(C9+D9-E9-G9,2)</x:f>
        <x:v>0</x:v>
      </x:c>
    </x:row>
    <x:row r="10" ht="18" customHeight="1">
      <x:c r="A10" s="11" t="str">
        <x:v>Jan 2026.pdf</x:v>
      </x:c>
      <x:c r="B10" s="11" t="str">
        <x:v>2026-01-23 to 2026-02-24</x:v>
      </x:c>
      <x:c r="C10" s="12" t="n">
        <x:v>19827.54</x:v>
      </x:c>
      <x:c r="D10" s="12" t="n">
        <x:v>535.7</x:v>
      </x:c>
      <x:c r="E10" s="12" t="n">
        <x:v>181.2</x:v>
      </x:c>
      <x:c r="F10" s="12" t="n">
        <x:f>D10-E10</x:f>
        <x:v>354.50000000000006</x:v>
      </x:c>
      <x:c r="G10" s="12" t="n">
        <x:v>20182.04</x:v>
      </x:c>
      <x:c r="H10" s="13" t="n">
        <x:v>1</x:v>
      </x:c>
      <x:c r="I10" s="13" t="n">
        <x:v>5</x:v>
      </x:c>
      <x:c r="J10" s="12" t="n">
        <x:f>ROUND(C10+D10-E10-G10,2)</x:f>
        <x:v>0</x:v>
      </x:c>
    </x:row>
    <x:row r="11" ht="18" customHeight="1">
      <x:c r="A11" s="11" t="str">
        <x:v>Feb 2026.pdf</x:v>
      </x:c>
      <x:c r="B11" s="11" t="str">
        <x:v>2026-02-24 to 2026-03-24</x:v>
      </x:c>
      <x:c r="C11" s="12" t="n">
        <x:v>20182.04</x:v>
      </x:c>
      <x:c r="D11" s="12" t="n">
        <x:v>0</x:v>
      </x:c>
      <x:c r="E11" s="12" t="n">
        <x:v>6</x:v>
      </x:c>
      <x:c r="F11" s="12" t="n">
        <x:f>D11-E11</x:f>
        <x:v>-6</x:v>
      </x:c>
      <x:c r="G11" s="12" t="n">
        <x:v>20176.04</x:v>
      </x:c>
      <x:c r="H11" s="13" t="n">
        <x:v>0</x:v>
      </x:c>
      <x:c r="I11" s="13" t="n">
        <x:v>1</x:v>
      </x:c>
      <x:c r="J11" s="12" t="n">
        <x:f>ROUND(C11+D11-E11-G11,2)</x:f>
        <x:v>0</x:v>
      </x:c>
    </x:row>
  </x:sheetData>
  <x:mergeCells>
    <x:mergeCell ref="A1:J1"/>
    <x:mergeCell ref="A3:J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26.239999771118164" hidden="0" customWidth="1"/>
    <x:col min="3" max="3" width="31.6299991607666" hidden="0" customWidth="1"/>
    <x:col min="4" max="4" width="20.860000610351562" hidden="0" customWidth="1"/>
    <x:col min="5" max="5" width="24.229999542236328" hidden="0" customWidth="1"/>
    <x:col min="6" max="6" width="14.800000190734863" hidden="0" customWidth="1"/>
    <x:col min="7" max="7" width="14.800000190734863" hidden="0" customWidth="1"/>
    <x:col min="8" max="8" width="14.800000190734863" hidden="0" customWidth="1"/>
    <x:col min="9" max="9" width="14.800000190734863" hidden="0" customWidth="1"/>
    <x:col min="10" max="10" width="16.81999969482422" hidden="0" customWidth="1"/>
    <x:col min="11" max="11" width="18.170000076293945" hidden="0" customWidth="1"/>
  </x:cols>
  <x:sheetData>
    <x:row r="1" ht="25.5" customHeight="1">
      <x:c r="A1" s="4" t="str">
        <x:v>Transaction Detail Extracted from RBC Statements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6" t="str">
        <x:v>Debits and credits are classified from the running balance movement in each statement.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5" ht="25.5" customHeight="1">
      <x:c r="A5" s="10" t="str">
        <x:v>Date</x:v>
      </x:c>
      <x:c r="B5" s="10" t="str">
        <x:v>Statement Period</x:v>
      </x:c>
      <x:c r="C5" s="10" t="str">
        <x:v>Description</x:v>
      </x:c>
      <x:c r="D5" s="10" t="str">
        <x:v>Detail</x:v>
      </x:c>
      <x:c r="E5" s="10" t="str">
        <x:v>Category</x:v>
      </x:c>
      <x:c r="F5" s="10" t="str">
        <x:v>Debit ($)</x:v>
      </x:c>
      <x:c r="G5" s="10" t="str">
        <x:v>Credit ($)</x:v>
      </x:c>
      <x:c r="H5" s="10" t="str">
        <x:v>Net Cash Flow</x:v>
      </x:c>
      <x:c r="I5" s="10" t="str">
        <x:v>Balance ($)</x:v>
      </x:c>
      <x:c r="J5" s="10" t="str">
        <x:v>Source File</x:v>
      </x:c>
      <x:c r="K5" s="10" t="str">
        <x:v>Parse Note</x:v>
      </x:c>
    </x:row>
    <x:row r="6" ht="18" customHeight="1">
      <x:c r="A6" s="14" t="n">
        <x:v>45931</x:v>
      </x:c>
      <x:c r="B6" s="11" t="str">
        <x:v>2025-09-24 to 2025-10-24</x:v>
      </x:c>
      <x:c r="C6" s="15" t="str">
        <x:v>Monthly fee</x:v>
      </x:c>
      <x:c r="D6" s="15" t="str"/>
      <x:c r="E6" s="15" t="str">
        <x:v>Bank fees</x:v>
      </x:c>
      <x:c r="F6" s="12" t="n">
        <x:v>6</x:v>
      </x:c>
      <x:c r="G6" s="12" t="n">
        <x:v>0</x:v>
      </x:c>
      <x:c r="H6" s="12" t="n">
        <x:f>G6-F6</x:f>
        <x:v>-6</x:v>
      </x:c>
      <x:c r="I6" s="12" t="n">
        <x:v>10085.54</x:v>
      </x:c>
      <x:c r="J6" s="11" t="str">
        <x:v>Sep 2025(1).pdf</x:v>
      </x:c>
      <x:c r="K6" s="11" t="str"/>
    </x:row>
    <x:row r="7" ht="18" customHeight="1">
      <x:c r="A7" s="14" t="n">
        <x:v>45932</x:v>
      </x:c>
      <x:c r="B7" s="11" t="str">
        <x:v>2025-09-24 to 2025-10-24</x:v>
      </x:c>
      <x:c r="C7" s="15" t="str">
        <x:v>Misc Payment SAFARI EATERTAI</x:v>
      </x:c>
      <x:c r="D7" s="15" t="str">
        <x:v>SAFARI EATERTAI</x:v>
      </x:c>
      <x:c r="E7" s="15" t="str">
        <x:v>Receipts - Misc Payment</x:v>
      </x:c>
      <x:c r="F7" s="12" t="n">
        <x:v>0</x:v>
      </x:c>
      <x:c r="G7" s="12" t="n">
        <x:v>4185</x:v>
      </x:c>
      <x:c r="H7" s="12" t="n">
        <x:f>G7-F7</x:f>
        <x:v>4185</x:v>
      </x:c>
      <x:c r="I7" s="12" t="n">
        <x:v>14270.54</x:v>
      </x:c>
      <x:c r="J7" s="11" t="str">
        <x:v>Sep 2025(1).pdf</x:v>
      </x:c>
      <x:c r="K7" s="11" t="str"/>
    </x:row>
    <x:row r="8" ht="18" customHeight="1">
      <x:c r="A8" s="14" t="n">
        <x:v>45950</x:v>
      </x:c>
      <x:c r="B8" s="11" t="str">
        <x:v>2025-09-24 to 2025-10-24</x:v>
      </x:c>
      <x:c r="C8" s="15" t="str">
        <x:v>Misc Payment SAFARI EATERTAI</x:v>
      </x:c>
      <x:c r="D8" s="15" t="str">
        <x:v>SAFARI EATERTAI</x:v>
      </x:c>
      <x:c r="E8" s="15" t="str">
        <x:v>Receipts - Misc Payment</x:v>
      </x:c>
      <x:c r="F8" s="12" t="n">
        <x:v>0</x:v>
      </x:c>
      <x:c r="G8" s="12" t="n">
        <x:v>3095</x:v>
      </x:c>
      <x:c r="H8" s="12" t="n">
        <x:f>G8-F8</x:f>
        <x:v>3095</x:v>
      </x:c>
      <x:c r="I8" s="12" t="n">
        <x:v>17365.54</x:v>
      </x:c>
      <x:c r="J8" s="11" t="str">
        <x:v>Sep 2025(1).pdf</x:v>
      </x:c>
      <x:c r="K8" s="11" t="str"/>
    </x:row>
    <x:row r="9" ht="18" customHeight="1">
      <x:c r="A9" s="14" t="n">
        <x:v>45964</x:v>
      </x:c>
      <x:c r="B9" s="11" t="str">
        <x:v>2025-10-24 to 2025-11-24</x:v>
      </x:c>
      <x:c r="C9" s="15" t="str">
        <x:v>Monthly fee</x:v>
      </x:c>
      <x:c r="D9" s="15" t="str"/>
      <x:c r="E9" s="15" t="str">
        <x:v>Bank fees</x:v>
      </x:c>
      <x:c r="F9" s="12" t="n">
        <x:v>6</x:v>
      </x:c>
      <x:c r="G9" s="12" t="n">
        <x:v>0</x:v>
      </x:c>
      <x:c r="H9" s="12" t="n">
        <x:f>G9-F9</x:f>
        <x:v>-6</x:v>
      </x:c>
      <x:c r="I9" s="12" t="n">
        <x:v>17359.54</x:v>
      </x:c>
      <x:c r="J9" s="11" t="str">
        <x:v>Oct 2025.pdf</x:v>
      </x:c>
      <x:c r="K9" s="11" t="str"/>
    </x:row>
    <x:row r="10" ht="18" customHeight="1">
      <x:c r="A10" s="14" t="n">
        <x:v>45980</x:v>
      </x:c>
      <x:c r="B10" s="11" t="str">
        <x:v>2025-10-24 to 2025-11-24</x:v>
      </x:c>
      <x:c r="C10" s="15" t="str">
        <x:v>Misc Payment SAFARI EATERTAI</x:v>
      </x:c>
      <x:c r="D10" s="15" t="str">
        <x:v>SAFARI EATERTAI</x:v>
      </x:c>
      <x:c r="E10" s="15" t="str">
        <x:v>Receipts - Misc Payment</x:v>
      </x:c>
      <x:c r="F10" s="12" t="n">
        <x:v>0</x:v>
      </x:c>
      <x:c r="G10" s="12" t="n">
        <x:v>1730</x:v>
      </x:c>
      <x:c r="H10" s="12" t="n">
        <x:f>G10-F10</x:f>
        <x:v>1730</x:v>
      </x:c>
      <x:c r="I10" s="12" t="n">
        <x:v>19089.54</x:v>
      </x:c>
      <x:c r="J10" s="11" t="str">
        <x:v>Oct 2025.pdf</x:v>
      </x:c>
      <x:c r="K10" s="11" t="str"/>
    </x:row>
    <x:row r="11" ht="18" customHeight="1">
      <x:c r="A11" s="14" t="n">
        <x:v>45992</x:v>
      </x:c>
      <x:c r="B11" s="11" t="str">
        <x:v>2025-11-24 to 2025-12-24</x:v>
      </x:c>
      <x:c r="C11" s="15" t="str">
        <x:v>Monthly fee</x:v>
      </x:c>
      <x:c r="D11" s="15" t="str"/>
      <x:c r="E11" s="15" t="str">
        <x:v>Bank fees</x:v>
      </x:c>
      <x:c r="F11" s="12" t="n">
        <x:v>6</x:v>
      </x:c>
      <x:c r="G11" s="12" t="n">
        <x:v>0</x:v>
      </x:c>
      <x:c r="H11" s="12" t="n">
        <x:f>G11-F11</x:f>
        <x:v>-6</x:v>
      </x:c>
      <x:c r="I11" s="12" t="n">
        <x:v>19083.54</x:v>
      </x:c>
      <x:c r="J11" s="11" t="str">
        <x:v>Nov 2025(1).pdf</x:v>
      </x:c>
      <x:c r="K11" s="11" t="str"/>
    </x:row>
    <x:row r="12" ht="18" customHeight="1">
      <x:c r="A12" s="14" t="n">
        <x:v>46008</x:v>
      </x:c>
      <x:c r="B12" s="11" t="str">
        <x:v>2025-11-24 to 2025-12-24</x:v>
      </x:c>
      <x:c r="C12" s="15" t="str">
        <x:v>Misc Payment SAFARI EATERTAI</x:v>
      </x:c>
      <x:c r="D12" s="15" t="str">
        <x:v>SAFARI EATERTAI</x:v>
      </x:c>
      <x:c r="E12" s="15" t="str">
        <x:v>Receipts - Misc Payment</x:v>
      </x:c>
      <x:c r="F12" s="12" t="n">
        <x:v>0</x:v>
      </x:c>
      <x:c r="G12" s="12" t="n">
        <x:v>550</x:v>
      </x:c>
      <x:c r="H12" s="12" t="n">
        <x:f>G12-F12</x:f>
        <x:v>550</x:v>
      </x:c>
      <x:c r="I12" s="12" t="n">
        <x:v>19633.54</x:v>
      </x:c>
      <x:c r="J12" s="11" t="str">
        <x:v>Nov 2025(1).pdf</x:v>
      </x:c>
      <x:c r="K12" s="11" t="str"/>
    </x:row>
    <x:row r="13" ht="18" customHeight="1">
      <x:c r="A13" s="14" t="n">
        <x:v>46024</x:v>
      </x:c>
      <x:c r="B13" s="11" t="str">
        <x:v>2025-12-24 to 2026-01-23</x:v>
      </x:c>
      <x:c r="C13" s="15" t="str">
        <x:v>Monthly fee</x:v>
      </x:c>
      <x:c r="D13" s="15" t="str"/>
      <x:c r="E13" s="15" t="str">
        <x:v>Bank fees</x:v>
      </x:c>
      <x:c r="F13" s="12" t="n">
        <x:v>6</x:v>
      </x:c>
      <x:c r="G13" s="12" t="n">
        <x:v>0</x:v>
      </x:c>
      <x:c r="H13" s="12" t="n">
        <x:f>G13-F13</x:f>
        <x:v>-6</x:v>
      </x:c>
      <x:c r="I13" s="12" t="n">
        <x:v>19627.54</x:v>
      </x:c>
      <x:c r="J13" s="11" t="str">
        <x:v>Dec 2025(1).pdf</x:v>
      </x:c>
      <x:c r="K13" s="11" t="str"/>
    </x:row>
    <x:row r="14" ht="18" customHeight="1">
      <x:c r="A14" s="14" t="n">
        <x:v>46038</x:v>
      </x:c>
      <x:c r="B14" s="11" t="str">
        <x:v>2025-12-24 to 2026-01-23</x:v>
      </x:c>
      <x:c r="C14" s="15" t="str">
        <x:v>Misc Payment SAFARI EATERTAI</x:v>
      </x:c>
      <x:c r="D14" s="15" t="str">
        <x:v>SAFARI EATERTAI</x:v>
      </x:c>
      <x:c r="E14" s="15" t="str">
        <x:v>Receipts - Misc Payment</x:v>
      </x:c>
      <x:c r="F14" s="12" t="n">
        <x:v>0</x:v>
      </x:c>
      <x:c r="G14" s="12" t="n">
        <x:v>200</x:v>
      </x:c>
      <x:c r="H14" s="12" t="n">
        <x:f>G14-F14</x:f>
        <x:v>200</x:v>
      </x:c>
      <x:c r="I14" s="12" t="n">
        <x:v>19827.54</x:v>
      </x:c>
      <x:c r="J14" s="11" t="str">
        <x:v>Dec 2025(1).pdf</x:v>
      </x:c>
      <x:c r="K14" s="11" t="str"/>
    </x:row>
    <x:row r="15" ht="18" customHeight="1">
      <x:c r="A15" s="14" t="n">
        <x:v>46055</x:v>
      </x:c>
      <x:c r="B15" s="11" t="str">
        <x:v>2026-01-23 to 2026-02-24</x:v>
      </x:c>
      <x:c r="C15" s="15" t="str">
        <x:v>Monthly fee</x:v>
      </x:c>
      <x:c r="D15" s="15" t="str"/>
      <x:c r="E15" s="15" t="str">
        <x:v>Bank fees</x:v>
      </x:c>
      <x:c r="F15" s="12" t="n">
        <x:v>6</x:v>
      </x:c>
      <x:c r="G15" s="12" t="n">
        <x:v>0</x:v>
      </x:c>
      <x:c r="H15" s="12" t="n">
        <x:f>G15-F15</x:f>
        <x:v>-6</x:v>
      </x:c>
      <x:c r="I15" s="12" t="n">
        <x:v>19821.54</x:v>
      </x:c>
      <x:c r="J15" s="11" t="str">
        <x:v>Jan 2026.pdf</x:v>
      </x:c>
      <x:c r="K15" s="11" t="str"/>
    </x:row>
    <x:row r="16" ht="18" customHeight="1">
      <x:c r="A16" s="14" t="n">
        <x:v>46056</x:v>
      </x:c>
      <x:c r="B16" s="11" t="str">
        <x:v>2026-01-23 to 2026-02-24</x:v>
      </x:c>
      <x:c r="C16" s="15" t="str">
        <x:v>e-Transfer sent zavi</x:v>
      </x:c>
      <x:c r="D16" s="15" t="str">
        <x:v>zavi</x:v>
      </x:c>
      <x:c r="E16" s="15" t="str">
        <x:v>e-Transfer sent</x:v>
      </x:c>
      <x:c r="F16" s="12" t="n">
        <x:v>20</x:v>
      </x:c>
      <x:c r="G16" s="12" t="n">
        <x:v>0</x:v>
      </x:c>
      <x:c r="H16" s="12" t="n">
        <x:f>G16-F16</x:f>
        <x:v>-20</x:v>
      </x:c>
      <x:c r="I16" s="12" t="n">
        <x:v>19801.54</x:v>
      </x:c>
      <x:c r="J16" s="11" t="str">
        <x:v>Jan 2026.pdf</x:v>
      </x:c>
      <x:c r="K16" s="11" t="str"/>
    </x:row>
    <x:row r="17" ht="18" customHeight="1">
      <x:c r="A17" s="14" t="n">
        <x:v>46058</x:v>
      </x:c>
      <x:c r="B17" s="11" t="str">
        <x:v>2026-01-23 to 2026-02-24</x:v>
      </x:c>
      <x:c r="C17" s="15" t="str">
        <x:v>e-Transfer sent zavi</x:v>
      </x:c>
      <x:c r="D17" s="15" t="str">
        <x:v>zavi</x:v>
      </x:c>
      <x:c r="E17" s="15" t="str">
        <x:v>e-Transfer sent</x:v>
      </x:c>
      <x:c r="F17" s="12" t="n">
        <x:v>20</x:v>
      </x:c>
      <x:c r="G17" s="12" t="n">
        <x:v>0</x:v>
      </x:c>
      <x:c r="H17" s="12" t="n">
        <x:f>G17-F17</x:f>
        <x:v>-20</x:v>
      </x:c>
      <x:c r="I17" s="12" t="n">
        <x:v>19781.54</x:v>
      </x:c>
      <x:c r="J17" s="11" t="str">
        <x:v>Jan 2026.pdf</x:v>
      </x:c>
      <x:c r="K17" s="11" t="str"/>
    </x:row>
    <x:row r="18" ht="18" customHeight="1">
      <x:c r="A18" s="14" t="n">
        <x:v>46063</x:v>
      </x:c>
      <x:c r="B18" s="11" t="str">
        <x:v>2026-01-23 to 2026-02-24</x:v>
      </x:c>
      <x:c r="C18" s="15" t="str">
        <x:v>e-Transfer sent Hamza</x:v>
      </x:c>
      <x:c r="D18" s="15" t="str">
        <x:v>Hamza</x:v>
      </x:c>
      <x:c r="E18" s="15" t="str">
        <x:v>e-Transfer sent</x:v>
      </x:c>
      <x:c r="F18" s="12" t="n">
        <x:v>115.2</x:v>
      </x:c>
      <x:c r="G18" s="12" t="n">
        <x:v>0</x:v>
      </x:c>
      <x:c r="H18" s="12" t="n">
        <x:f>G18-F18</x:f>
        <x:v>-115.2</x:v>
      </x:c>
      <x:c r="I18" s="12" t="n">
        <x:v>19666.34</x:v>
      </x:c>
      <x:c r="J18" s="11" t="str">
        <x:v>Jan 2026.pdf</x:v>
      </x:c>
      <x:c r="K18" s="11" t="str"/>
    </x:row>
    <x:row r="19" ht="18" customHeight="1">
      <x:c r="A19" s="14" t="n">
        <x:v>46064</x:v>
      </x:c>
      <x:c r="B19" s="11" t="str">
        <x:v>2026-01-23 to 2026-02-24</x:v>
      </x:c>
      <x:c r="C19" s="15" t="str">
        <x:v>e-Transfer sent zavi</x:v>
      </x:c>
      <x:c r="D19" s="15" t="str">
        <x:v>zavi</x:v>
      </x:c>
      <x:c r="E19" s="15" t="str">
        <x:v>e-Transfer sent</x:v>
      </x:c>
      <x:c r="F19" s="12" t="n">
        <x:v>20</x:v>
      </x:c>
      <x:c r="G19" s="12" t="n">
        <x:v>0</x:v>
      </x:c>
      <x:c r="H19" s="12" t="n">
        <x:f>G19-F19</x:f>
        <x:v>-20</x:v>
      </x:c>
      <x:c r="I19" s="12" t="n">
        <x:v>19646.34</x:v>
      </x:c>
      <x:c r="J19" s="11" t="str">
        <x:v>Jan 2026.pdf</x:v>
      </x:c>
      <x:c r="K19" s="11" t="str"/>
    </x:row>
    <x:row r="20" ht="18" customHeight="1">
      <x:c r="A20" s="14" t="n">
        <x:v>46066</x:v>
      </x:c>
      <x:c r="B20" s="11" t="str">
        <x:v>2026-01-23 to 2026-02-24</x:v>
      </x:c>
      <x:c r="C20" s="15" t="str">
        <x:v>Misc Payment SAFARI EATERTAI</x:v>
      </x:c>
      <x:c r="D20" s="15" t="str">
        <x:v>SAFARI EATERTAI</x:v>
      </x:c>
      <x:c r="E20" s="15" t="str">
        <x:v>Receipts - Misc Payment</x:v>
      </x:c>
      <x:c r="F20" s="12" t="n">
        <x:v>0</x:v>
      </x:c>
      <x:c r="G20" s="12" t="n">
        <x:v>535.7</x:v>
      </x:c>
      <x:c r="H20" s="12" t="n">
        <x:f>G20-F20</x:f>
        <x:v>535.7</x:v>
      </x:c>
      <x:c r="I20" s="12" t="n">
        <x:v>20182.04</x:v>
      </x:c>
      <x:c r="J20" s="11" t="str">
        <x:v>Jan 2026.pdf</x:v>
      </x:c>
      <x:c r="K20" s="11" t="str"/>
    </x:row>
    <x:row r="21" ht="18" customHeight="1">
      <x:c r="A21" s="14" t="n">
        <x:v>46083</x:v>
      </x:c>
      <x:c r="B21" s="11" t="str">
        <x:v>2026-02-24 to 2026-03-24</x:v>
      </x:c>
      <x:c r="C21" s="15" t="str">
        <x:v>Monthly fee</x:v>
      </x:c>
      <x:c r="D21" s="15" t="str"/>
      <x:c r="E21" s="15" t="str">
        <x:v>Bank fees</x:v>
      </x:c>
      <x:c r="F21" s="12" t="n">
        <x:v>6</x:v>
      </x:c>
      <x:c r="G21" s="12" t="n">
        <x:v>0</x:v>
      </x:c>
      <x:c r="H21" s="12" t="n">
        <x:f>G21-F21</x:f>
        <x:v>-6</x:v>
      </x:c>
      <x:c r="I21" s="12" t="n">
        <x:v>20176.04</x:v>
      </x:c>
      <x:c r="J21" s="11" t="str">
        <x:v>Feb 2026.pdf</x:v>
      </x:c>
      <x:c r="K21" s="11" t="str"/>
    </x:row>
  </x:sheetData>
  <x:mergeCells>
    <x:mergeCell ref="A1:K1"/>
    <x:mergeCell ref="A3:K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8.170000076293945" hidden="0" customWidth="1"/>
    <x:col min="3" max="3" width="32.29999923706055" hidden="0" customWidth="1"/>
    <x:col min="4" max="4" width="14.800000190734863" hidden="0" customWidth="1"/>
    <x:col min="5" max="5" width="14.800000190734863" hidden="0" customWidth="1"/>
    <x:col min="6" max="6" width="14.800000190734863" hidden="0" customWidth="1"/>
    <x:col min="7" max="7" width="10.09000015258789" hidden="0" customWidth="1"/>
    <x:col min="8" max="8" width="16.81999969482422" hidden="0" customWidth="1"/>
  </x:cols>
  <x:sheetData>
    <x:row r="1" ht="25.5" customHeight="1">
      <x:c r="A1" s="4" t="str">
        <x:v>Reconciliation Checks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</x:row>
    <x:row r="3">
      <x:c r="A3" s="6" t="str">
        <x:v>Checks compare extracted transaction activity to the statement summaries. Status should be OK before using outputs.</x:v>
      </x:c>
      <x:c r="B3" s="6"/>
      <x:c r="C3" s="6"/>
      <x:c r="D3" s="6"/>
      <x:c r="E3" s="6"/>
      <x:c r="F3" s="6"/>
      <x:c r="G3" s="6"/>
      <x:c r="H3" s="6"/>
    </x:row>
    <x:row r="5" ht="25.5" customHeight="1">
      <x:c r="A5" s="10" t="str">
        <x:v>Check Group</x:v>
      </x:c>
      <x:c r="B5" s="10" t="str">
        <x:v>Source File</x:v>
      </x:c>
      <x:c r="C5" s="10" t="str">
        <x:v>Check</x:v>
      </x:c>
      <x:c r="D5" s="10" t="str">
        <x:v>Actual</x:v>
      </x:c>
      <x:c r="E5" s="10" t="str">
        <x:v>Expected</x:v>
      </x:c>
      <x:c r="F5" s="10" t="str">
        <x:v>Difference</x:v>
      </x:c>
      <x:c r="G5" s="10" t="str">
        <x:v>Status</x:v>
      </x:c>
      <x:c r="H5" s="10" t="str">
        <x:v>Notes</x:v>
      </x:c>
    </x:row>
    <x:row r="6" ht="18" customHeight="1">
      <x:c r="A6" s="11" t="str">
        <x:v>Statement rollforward</x:v>
      </x:c>
      <x:c r="B6" s="11" t="str">
        <x:f>'Monthly Statement'!A6</x:f>
        <x:v>Sep 2025(1).pdf</x:v>
      </x:c>
      <x:c r="C6" s="11" t="str">
        <x:v>Opening + credits - debits = closing</x:v>
      </x:c>
      <x:c r="D6" s="12" t="n">
        <x:f>'Monthly Statement'!C6+'Monthly Statement'!D6-'Monthly Statement'!E6</x:f>
        <x:v>17365.54</x:v>
      </x:c>
      <x:c r="E6" s="12" t="n">
        <x:f>'Monthly Statement'!G6</x:f>
        <x:v>17365.54</x:v>
      </x:c>
      <x:c r="F6" s="12" t="n">
        <x:f>ROUND(D6-E6,2)</x:f>
        <x:v>0</x:v>
      </x:c>
      <x:c r="G6" s="11" t="str">
        <x:f>IF(ABS(F6)&lt;=0.01,"OK","Review")</x:f>
        <x:v>OK</x:v>
      </x:c>
      <x:c r="H6" s="11" t="str"/>
    </x:row>
    <x:row r="7" ht="18" customHeight="1">
      <x:c r="A7" s="11" t="str">
        <x:v>Transaction credits tie-out</x:v>
      </x:c>
      <x:c r="B7" s="11" t="str">
        <x:f>'Monthly Statement'!A6</x:f>
        <x:v>Sep 2025(1).pdf</x:v>
      </x:c>
      <x:c r="C7" s="11" t="str">
        <x:v>Transaction credits = statement deposits</x:v>
      </x:c>
      <x:c r="D7" s="12" t="n">
        <x:f>SUMIF(Transactions!J:J,B7,Transactions!G:G)</x:f>
        <x:v>7280</x:v>
      </x:c>
      <x:c r="E7" s="12" t="n">
        <x:f>'Monthly Statement'!D6</x:f>
        <x:v>7280</x:v>
      </x:c>
      <x:c r="F7" s="12" t="n">
        <x:f>ROUND(D7-E7,2)</x:f>
        <x:v>0</x:v>
      </x:c>
      <x:c r="G7" s="11" t="str">
        <x:f>IF(ABS(F7)&lt;=0.01,"OK","Review")</x:f>
        <x:v>OK</x:v>
      </x:c>
      <x:c r="H7" s="11" t="str"/>
    </x:row>
    <x:row r="8" ht="18" customHeight="1">
      <x:c r="A8" s="11" t="str">
        <x:v>Transaction debits tie-out</x:v>
      </x:c>
      <x:c r="B8" s="11" t="str">
        <x:f>'Monthly Statement'!A6</x:f>
        <x:v>Sep 2025(1).pdf</x:v>
      </x:c>
      <x:c r="C8" s="11" t="str">
        <x:v>Transaction debits = statement debits</x:v>
      </x:c>
      <x:c r="D8" s="12" t="n">
        <x:f>SUMIF(Transactions!J:J,B8,Transactions!F:F)</x:f>
        <x:v>6</x:v>
      </x:c>
      <x:c r="E8" s="12" t="n">
        <x:f>'Monthly Statement'!E6</x:f>
        <x:v>6</x:v>
      </x:c>
      <x:c r="F8" s="12" t="n">
        <x:f>ROUND(D8-E8,2)</x:f>
        <x:v>0</x:v>
      </x:c>
      <x:c r="G8" s="11" t="str">
        <x:f>IF(ABS(F8)&lt;=0.01,"OK","Review")</x:f>
        <x:v>OK</x:v>
      </x:c>
      <x:c r="H8" s="11" t="str"/>
    </x:row>
    <x:row r="9" ht="18" customHeight="1">
      <x:c r="A9" s="11" t="str">
        <x:v>Statement rollforward</x:v>
      </x:c>
      <x:c r="B9" s="11" t="str">
        <x:f>'Monthly Statement'!A7</x:f>
        <x:v>Oct 2025.pdf</x:v>
      </x:c>
      <x:c r="C9" s="11" t="str">
        <x:v>Opening + credits - debits = closing</x:v>
      </x:c>
      <x:c r="D9" s="12" t="n">
        <x:f>'Monthly Statement'!C7+'Monthly Statement'!D7-'Monthly Statement'!E7</x:f>
        <x:v>19089.54</x:v>
      </x:c>
      <x:c r="E9" s="12" t="n">
        <x:f>'Monthly Statement'!G7</x:f>
        <x:v>19089.54</x:v>
      </x:c>
      <x:c r="F9" s="12" t="n">
        <x:f>ROUND(D9-E9,2)</x:f>
        <x:v>0</x:v>
      </x:c>
      <x:c r="G9" s="11" t="str">
        <x:f>IF(ABS(F9)&lt;=0.01,"OK","Review")</x:f>
        <x:v>OK</x:v>
      </x:c>
      <x:c r="H9" s="11" t="str"/>
    </x:row>
    <x:row r="10" ht="18" customHeight="1">
      <x:c r="A10" s="11" t="str">
        <x:v>Transaction credits tie-out</x:v>
      </x:c>
      <x:c r="B10" s="11" t="str">
        <x:f>'Monthly Statement'!A7</x:f>
        <x:v>Oct 2025.pdf</x:v>
      </x:c>
      <x:c r="C10" s="11" t="str">
        <x:v>Transaction credits = statement deposits</x:v>
      </x:c>
      <x:c r="D10" s="12" t="n">
        <x:f>SUMIF(Transactions!J:J,B10,Transactions!G:G)</x:f>
        <x:v>1730</x:v>
      </x:c>
      <x:c r="E10" s="12" t="n">
        <x:f>'Monthly Statement'!D7</x:f>
        <x:v>1730</x:v>
      </x:c>
      <x:c r="F10" s="12" t="n">
        <x:f>ROUND(D10-E10,2)</x:f>
        <x:v>0</x:v>
      </x:c>
      <x:c r="G10" s="11" t="str">
        <x:f>IF(ABS(F10)&lt;=0.01,"OK","Review")</x:f>
        <x:v>OK</x:v>
      </x:c>
      <x:c r="H10" s="11" t="str"/>
    </x:row>
    <x:row r="11" ht="18" customHeight="1">
      <x:c r="A11" s="11" t="str">
        <x:v>Transaction debits tie-out</x:v>
      </x:c>
      <x:c r="B11" s="11" t="str">
        <x:f>'Monthly Statement'!A7</x:f>
        <x:v>Oct 2025.pdf</x:v>
      </x:c>
      <x:c r="C11" s="11" t="str">
        <x:v>Transaction debits = statement debits</x:v>
      </x:c>
      <x:c r="D11" s="12" t="n">
        <x:f>SUMIF(Transactions!J:J,B11,Transactions!F:F)</x:f>
        <x:v>6</x:v>
      </x:c>
      <x:c r="E11" s="12" t="n">
        <x:f>'Monthly Statement'!E7</x:f>
        <x:v>6</x:v>
      </x:c>
      <x:c r="F11" s="12" t="n">
        <x:f>ROUND(D11-E11,2)</x:f>
        <x:v>0</x:v>
      </x:c>
      <x:c r="G11" s="11" t="str">
        <x:f>IF(ABS(F11)&lt;=0.01,"OK","Review")</x:f>
        <x:v>OK</x:v>
      </x:c>
      <x:c r="H11" s="11" t="str"/>
    </x:row>
    <x:row r="12" ht="18" customHeight="1">
      <x:c r="A12" s="11" t="str">
        <x:v>Statement continuity</x:v>
      </x:c>
      <x:c r="B12" s="11" t="str">
        <x:f>'Monthly Statement'!A7</x:f>
        <x:v>Oct 2025.pdf</x:v>
      </x:c>
      <x:c r="C12" s="11" t="str">
        <x:v>Opening balance = prior closing balance</x:v>
      </x:c>
      <x:c r="D12" s="12" t="n">
        <x:f>'Monthly Statement'!C7</x:f>
        <x:v>17365.54</x:v>
      </x:c>
      <x:c r="E12" s="12" t="n">
        <x:f>'Monthly Statement'!G6</x:f>
        <x:v>17365.54</x:v>
      </x:c>
      <x:c r="F12" s="12" t="n">
        <x:f>ROUND(D12-E12,2)</x:f>
        <x:v>0</x:v>
      </x:c>
      <x:c r="G12" s="11" t="str">
        <x:f>IF(ABS(F12)&lt;=0.01,"OK","Review")</x:f>
        <x:v>OK</x:v>
      </x:c>
      <x:c r="H12" s="11" t="str"/>
    </x:row>
    <x:row r="13" ht="18" customHeight="1">
      <x:c r="A13" s="11" t="str">
        <x:v>Statement rollforward</x:v>
      </x:c>
      <x:c r="B13" s="11" t="str">
        <x:f>'Monthly Statement'!A8</x:f>
        <x:v>Nov 2025(1).pdf</x:v>
      </x:c>
      <x:c r="C13" s="11" t="str">
        <x:v>Opening + credits - debits = closing</x:v>
      </x:c>
      <x:c r="D13" s="12" t="n">
        <x:f>'Monthly Statement'!C8+'Monthly Statement'!D8-'Monthly Statement'!E8</x:f>
        <x:v>19633.54</x:v>
      </x:c>
      <x:c r="E13" s="12" t="n">
        <x:f>'Monthly Statement'!G8</x:f>
        <x:v>19633.54</x:v>
      </x:c>
      <x:c r="F13" s="12" t="n">
        <x:f>ROUND(D13-E13,2)</x:f>
        <x:v>0</x:v>
      </x:c>
      <x:c r="G13" s="11" t="str">
        <x:f>IF(ABS(F13)&lt;=0.01,"OK","Review")</x:f>
        <x:v>OK</x:v>
      </x:c>
      <x:c r="H13" s="11" t="str"/>
    </x:row>
    <x:row r="14" ht="18" customHeight="1">
      <x:c r="A14" s="11" t="str">
        <x:v>Transaction credits tie-out</x:v>
      </x:c>
      <x:c r="B14" s="11" t="str">
        <x:f>'Monthly Statement'!A8</x:f>
        <x:v>Nov 2025(1).pdf</x:v>
      </x:c>
      <x:c r="C14" s="11" t="str">
        <x:v>Transaction credits = statement deposits</x:v>
      </x:c>
      <x:c r="D14" s="12" t="n">
        <x:f>SUMIF(Transactions!J:J,B14,Transactions!G:G)</x:f>
        <x:v>550</x:v>
      </x:c>
      <x:c r="E14" s="12" t="n">
        <x:f>'Monthly Statement'!D8</x:f>
        <x:v>550</x:v>
      </x:c>
      <x:c r="F14" s="12" t="n">
        <x:f>ROUND(D14-E14,2)</x:f>
        <x:v>0</x:v>
      </x:c>
      <x:c r="G14" s="11" t="str">
        <x:f>IF(ABS(F14)&lt;=0.01,"OK","Review")</x:f>
        <x:v>OK</x:v>
      </x:c>
      <x:c r="H14" s="11" t="str"/>
    </x:row>
    <x:row r="15" ht="18" customHeight="1">
      <x:c r="A15" s="11" t="str">
        <x:v>Transaction debits tie-out</x:v>
      </x:c>
      <x:c r="B15" s="11" t="str">
        <x:f>'Monthly Statement'!A8</x:f>
        <x:v>Nov 2025(1).pdf</x:v>
      </x:c>
      <x:c r="C15" s="11" t="str">
        <x:v>Transaction debits = statement debits</x:v>
      </x:c>
      <x:c r="D15" s="12" t="n">
        <x:f>SUMIF(Transactions!J:J,B15,Transactions!F:F)</x:f>
        <x:v>6</x:v>
      </x:c>
      <x:c r="E15" s="12" t="n">
        <x:f>'Monthly Statement'!E8</x:f>
        <x:v>6</x:v>
      </x:c>
      <x:c r="F15" s="12" t="n">
        <x:f>ROUND(D15-E15,2)</x:f>
        <x:v>0</x:v>
      </x:c>
      <x:c r="G15" s="11" t="str">
        <x:f>IF(ABS(F15)&lt;=0.01,"OK","Review")</x:f>
        <x:v>OK</x:v>
      </x:c>
      <x:c r="H15" s="11" t="str"/>
    </x:row>
    <x:row r="16" ht="18" customHeight="1">
      <x:c r="A16" s="11" t="str">
        <x:v>Statement continuity</x:v>
      </x:c>
      <x:c r="B16" s="11" t="str">
        <x:f>'Monthly Statement'!A8</x:f>
        <x:v>Nov 2025(1).pdf</x:v>
      </x:c>
      <x:c r="C16" s="11" t="str">
        <x:v>Opening balance = prior closing balance</x:v>
      </x:c>
      <x:c r="D16" s="12" t="n">
        <x:f>'Monthly Statement'!C8</x:f>
        <x:v>19089.54</x:v>
      </x:c>
      <x:c r="E16" s="12" t="n">
        <x:f>'Monthly Statement'!G7</x:f>
        <x:v>19089.54</x:v>
      </x:c>
      <x:c r="F16" s="12" t="n">
        <x:f>ROUND(D16-E16,2)</x:f>
        <x:v>0</x:v>
      </x:c>
      <x:c r="G16" s="11" t="str">
        <x:f>IF(ABS(F16)&lt;=0.01,"OK","Review")</x:f>
        <x:v>OK</x:v>
      </x:c>
      <x:c r="H16" s="11" t="str"/>
    </x:row>
    <x:row r="17" ht="18" customHeight="1">
      <x:c r="A17" s="11" t="str">
        <x:v>Statement rollforward</x:v>
      </x:c>
      <x:c r="B17" s="11" t="str">
        <x:f>'Monthly Statement'!A9</x:f>
        <x:v>Dec 2025(1).pdf</x:v>
      </x:c>
      <x:c r="C17" s="11" t="str">
        <x:v>Opening + credits - debits = closing</x:v>
      </x:c>
      <x:c r="D17" s="12" t="n">
        <x:f>'Monthly Statement'!C9+'Monthly Statement'!D9-'Monthly Statement'!E9</x:f>
        <x:v>19827.54</x:v>
      </x:c>
      <x:c r="E17" s="12" t="n">
        <x:f>'Monthly Statement'!G9</x:f>
        <x:v>19827.54</x:v>
      </x:c>
      <x:c r="F17" s="12" t="n">
        <x:f>ROUND(D17-E17,2)</x:f>
        <x:v>0</x:v>
      </x:c>
      <x:c r="G17" s="11" t="str">
        <x:f>IF(ABS(F17)&lt;=0.01,"OK","Review")</x:f>
        <x:v>OK</x:v>
      </x:c>
      <x:c r="H17" s="11" t="str"/>
    </x:row>
    <x:row r="18" ht="18" customHeight="1">
      <x:c r="A18" s="11" t="str">
        <x:v>Transaction credits tie-out</x:v>
      </x:c>
      <x:c r="B18" s="11" t="str">
        <x:f>'Monthly Statement'!A9</x:f>
        <x:v>Dec 2025(1).pdf</x:v>
      </x:c>
      <x:c r="C18" s="11" t="str">
        <x:v>Transaction credits = statement deposits</x:v>
      </x:c>
      <x:c r="D18" s="12" t="n">
        <x:f>SUMIF(Transactions!J:J,B18,Transactions!G:G)</x:f>
        <x:v>200</x:v>
      </x:c>
      <x:c r="E18" s="12" t="n">
        <x:f>'Monthly Statement'!D9</x:f>
        <x:v>200</x:v>
      </x:c>
      <x:c r="F18" s="12" t="n">
        <x:f>ROUND(D18-E18,2)</x:f>
        <x:v>0</x:v>
      </x:c>
      <x:c r="G18" s="11" t="str">
        <x:f>IF(ABS(F18)&lt;=0.01,"OK","Review")</x:f>
        <x:v>OK</x:v>
      </x:c>
      <x:c r="H18" s="11" t="str"/>
    </x:row>
    <x:row r="19" ht="18" customHeight="1">
      <x:c r="A19" s="11" t="str">
        <x:v>Transaction debits tie-out</x:v>
      </x:c>
      <x:c r="B19" s="11" t="str">
        <x:f>'Monthly Statement'!A9</x:f>
        <x:v>Dec 2025(1).pdf</x:v>
      </x:c>
      <x:c r="C19" s="11" t="str">
        <x:v>Transaction debits = statement debits</x:v>
      </x:c>
      <x:c r="D19" s="12" t="n">
        <x:f>SUMIF(Transactions!J:J,B19,Transactions!F:F)</x:f>
        <x:v>6</x:v>
      </x:c>
      <x:c r="E19" s="12" t="n">
        <x:f>'Monthly Statement'!E9</x:f>
        <x:v>6</x:v>
      </x:c>
      <x:c r="F19" s="12" t="n">
        <x:f>ROUND(D19-E19,2)</x:f>
        <x:v>0</x:v>
      </x:c>
      <x:c r="G19" s="11" t="str">
        <x:f>IF(ABS(F19)&lt;=0.01,"OK","Review")</x:f>
        <x:v>OK</x:v>
      </x:c>
      <x:c r="H19" s="11" t="str"/>
    </x:row>
    <x:row r="20" ht="18" customHeight="1">
      <x:c r="A20" s="11" t="str">
        <x:v>Statement continuity</x:v>
      </x:c>
      <x:c r="B20" s="11" t="str">
        <x:f>'Monthly Statement'!A9</x:f>
        <x:v>Dec 2025(1).pdf</x:v>
      </x:c>
      <x:c r="C20" s="11" t="str">
        <x:v>Opening balance = prior closing balance</x:v>
      </x:c>
      <x:c r="D20" s="12" t="n">
        <x:f>'Monthly Statement'!C9</x:f>
        <x:v>19633.54</x:v>
      </x:c>
      <x:c r="E20" s="12" t="n">
        <x:f>'Monthly Statement'!G8</x:f>
        <x:v>19633.54</x:v>
      </x:c>
      <x:c r="F20" s="12" t="n">
        <x:f>ROUND(D20-E20,2)</x:f>
        <x:v>0</x:v>
      </x:c>
      <x:c r="G20" s="11" t="str">
        <x:f>IF(ABS(F20)&lt;=0.01,"OK","Review")</x:f>
        <x:v>OK</x:v>
      </x:c>
      <x:c r="H20" s="11" t="str"/>
    </x:row>
    <x:row r="21" ht="18" customHeight="1">
      <x:c r="A21" s="11" t="str">
        <x:v>Statement rollforward</x:v>
      </x:c>
      <x:c r="B21" s="11" t="str">
        <x:f>'Monthly Statement'!A10</x:f>
        <x:v>Jan 2026.pdf</x:v>
      </x:c>
      <x:c r="C21" s="11" t="str">
        <x:v>Opening + credits - debits = closing</x:v>
      </x:c>
      <x:c r="D21" s="12" t="n">
        <x:f>'Monthly Statement'!C10+'Monthly Statement'!D10-'Monthly Statement'!E10</x:f>
        <x:v>20182.04</x:v>
      </x:c>
      <x:c r="E21" s="12" t="n">
        <x:f>'Monthly Statement'!G10</x:f>
        <x:v>20182.04</x:v>
      </x:c>
      <x:c r="F21" s="12" t="n">
        <x:f>ROUND(D21-E21,2)</x:f>
        <x:v>0</x:v>
      </x:c>
      <x:c r="G21" s="11" t="str">
        <x:f>IF(ABS(F21)&lt;=0.01,"OK","Review")</x:f>
        <x:v>OK</x:v>
      </x:c>
      <x:c r="H21" s="11" t="str"/>
    </x:row>
    <x:row r="22" ht="18" customHeight="1">
      <x:c r="A22" s="11" t="str">
        <x:v>Transaction credits tie-out</x:v>
      </x:c>
      <x:c r="B22" s="11" t="str">
        <x:f>'Monthly Statement'!A10</x:f>
        <x:v>Jan 2026.pdf</x:v>
      </x:c>
      <x:c r="C22" s="11" t="str">
        <x:v>Transaction credits = statement deposits</x:v>
      </x:c>
      <x:c r="D22" s="12" t="n">
        <x:f>SUMIF(Transactions!J:J,B22,Transactions!G:G)</x:f>
        <x:v>535.7</x:v>
      </x:c>
      <x:c r="E22" s="12" t="n">
        <x:f>'Monthly Statement'!D10</x:f>
        <x:v>535.7</x:v>
      </x:c>
      <x:c r="F22" s="12" t="n">
        <x:f>ROUND(D22-E22,2)</x:f>
        <x:v>0</x:v>
      </x:c>
      <x:c r="G22" s="11" t="str">
        <x:f>IF(ABS(F22)&lt;=0.01,"OK","Review")</x:f>
        <x:v>OK</x:v>
      </x:c>
      <x:c r="H22" s="11" t="str"/>
    </x:row>
    <x:row r="23" ht="18" customHeight="1">
      <x:c r="A23" s="11" t="str">
        <x:v>Transaction debits tie-out</x:v>
      </x:c>
      <x:c r="B23" s="11" t="str">
        <x:f>'Monthly Statement'!A10</x:f>
        <x:v>Jan 2026.pdf</x:v>
      </x:c>
      <x:c r="C23" s="11" t="str">
        <x:v>Transaction debits = statement debits</x:v>
      </x:c>
      <x:c r="D23" s="12" t="n">
        <x:f>SUMIF(Transactions!J:J,B23,Transactions!F:F)</x:f>
        <x:v>181.2</x:v>
      </x:c>
      <x:c r="E23" s="12" t="n">
        <x:f>'Monthly Statement'!E10</x:f>
        <x:v>181.2</x:v>
      </x:c>
      <x:c r="F23" s="12" t="n">
        <x:f>ROUND(D23-E23,2)</x:f>
        <x:v>0</x:v>
      </x:c>
      <x:c r="G23" s="11" t="str">
        <x:f>IF(ABS(F23)&lt;=0.01,"OK","Review")</x:f>
        <x:v>OK</x:v>
      </x:c>
      <x:c r="H23" s="11" t="str"/>
    </x:row>
    <x:row r="24" ht="18" customHeight="1">
      <x:c r="A24" s="11" t="str">
        <x:v>Statement continuity</x:v>
      </x:c>
      <x:c r="B24" s="11" t="str">
        <x:f>'Monthly Statement'!A10</x:f>
        <x:v>Jan 2026.pdf</x:v>
      </x:c>
      <x:c r="C24" s="11" t="str">
        <x:v>Opening balance = prior closing balance</x:v>
      </x:c>
      <x:c r="D24" s="12" t="n">
        <x:f>'Monthly Statement'!C10</x:f>
        <x:v>19827.54</x:v>
      </x:c>
      <x:c r="E24" s="12" t="n">
        <x:f>'Monthly Statement'!G9</x:f>
        <x:v>19827.54</x:v>
      </x:c>
      <x:c r="F24" s="12" t="n">
        <x:f>ROUND(D24-E24,2)</x:f>
        <x:v>0</x:v>
      </x:c>
      <x:c r="G24" s="11" t="str">
        <x:f>IF(ABS(F24)&lt;=0.01,"OK","Review")</x:f>
        <x:v>OK</x:v>
      </x:c>
      <x:c r="H24" s="11" t="str"/>
    </x:row>
    <x:row r="25" ht="18" customHeight="1">
      <x:c r="A25" s="11" t="str">
        <x:v>Statement rollforward</x:v>
      </x:c>
      <x:c r="B25" s="11" t="str">
        <x:f>'Monthly Statement'!A11</x:f>
        <x:v>Feb 2026.pdf</x:v>
      </x:c>
      <x:c r="C25" s="11" t="str">
        <x:v>Opening + credits - debits = closing</x:v>
      </x:c>
      <x:c r="D25" s="12" t="n">
        <x:f>'Monthly Statement'!C11+'Monthly Statement'!D11-'Monthly Statement'!E11</x:f>
        <x:v>20176.04</x:v>
      </x:c>
      <x:c r="E25" s="12" t="n">
        <x:f>'Monthly Statement'!G11</x:f>
        <x:v>20176.04</x:v>
      </x:c>
      <x:c r="F25" s="12" t="n">
        <x:f>ROUND(D25-E25,2)</x:f>
        <x:v>0</x:v>
      </x:c>
      <x:c r="G25" s="11" t="str">
        <x:f>IF(ABS(F25)&lt;=0.01,"OK","Review")</x:f>
        <x:v>OK</x:v>
      </x:c>
      <x:c r="H25" s="11" t="str"/>
    </x:row>
    <x:row r="26" ht="18" customHeight="1">
      <x:c r="A26" s="11" t="str">
        <x:v>Transaction credits tie-out</x:v>
      </x:c>
      <x:c r="B26" s="11" t="str">
        <x:f>'Monthly Statement'!A11</x:f>
        <x:v>Feb 2026.pdf</x:v>
      </x:c>
      <x:c r="C26" s="11" t="str">
        <x:v>Transaction credits = statement deposits</x:v>
      </x:c>
      <x:c r="D26" s="12" t="n">
        <x:f>SUMIF(Transactions!J:J,B26,Transactions!G:G)</x:f>
        <x:v>0</x:v>
      </x:c>
      <x:c r="E26" s="12" t="n">
        <x:f>'Monthly Statement'!D11</x:f>
        <x:v>0</x:v>
      </x:c>
      <x:c r="F26" s="12" t="n">
        <x:f>ROUND(D26-E26,2)</x:f>
        <x:v>0</x:v>
      </x:c>
      <x:c r="G26" s="11" t="str">
        <x:f>IF(ABS(F26)&lt;=0.01,"OK","Review")</x:f>
        <x:v>OK</x:v>
      </x:c>
      <x:c r="H26" s="11" t="str"/>
    </x:row>
    <x:row r="27" ht="18" customHeight="1">
      <x:c r="A27" s="11" t="str">
        <x:v>Transaction debits tie-out</x:v>
      </x:c>
      <x:c r="B27" s="11" t="str">
        <x:f>'Monthly Statement'!A11</x:f>
        <x:v>Feb 2026.pdf</x:v>
      </x:c>
      <x:c r="C27" s="11" t="str">
        <x:v>Transaction debits = statement debits</x:v>
      </x:c>
      <x:c r="D27" s="12" t="n">
        <x:f>SUMIF(Transactions!J:J,B27,Transactions!F:F)</x:f>
        <x:v>6</x:v>
      </x:c>
      <x:c r="E27" s="12" t="n">
        <x:f>'Monthly Statement'!E11</x:f>
        <x:v>6</x:v>
      </x:c>
      <x:c r="F27" s="12" t="n">
        <x:f>ROUND(D27-E27,2)</x:f>
        <x:v>0</x:v>
      </x:c>
      <x:c r="G27" s="11" t="str">
        <x:f>IF(ABS(F27)&lt;=0.01,"OK","Review")</x:f>
        <x:v>OK</x:v>
      </x:c>
      <x:c r="H27" s="11" t="str"/>
    </x:row>
    <x:row r="28" ht="18" customHeight="1">
      <x:c r="A28" s="11" t="str">
        <x:v>Statement continuity</x:v>
      </x:c>
      <x:c r="B28" s="11" t="str">
        <x:f>'Monthly Statement'!A11</x:f>
        <x:v>Feb 2026.pdf</x:v>
      </x:c>
      <x:c r="C28" s="11" t="str">
        <x:v>Opening balance = prior closing balance</x:v>
      </x:c>
      <x:c r="D28" s="12" t="n">
        <x:f>'Monthly Statement'!C11</x:f>
        <x:v>20182.04</x:v>
      </x:c>
      <x:c r="E28" s="12" t="n">
        <x:f>'Monthly Statement'!G10</x:f>
        <x:v>20182.04</x:v>
      </x:c>
      <x:c r="F28" s="12" t="n">
        <x:f>ROUND(D28-E28,2)</x:f>
        <x:v>0</x:v>
      </x:c>
      <x:c r="G28" s="11" t="str">
        <x:f>IF(ABS(F28)&lt;=0.01,"OK","Review")</x:f>
        <x:v>OK</x:v>
      </x:c>
      <x:c r="H28" s="11" t="str"/>
    </x:row>
  </x:sheetData>
  <x:mergeCells>
    <x:mergeCell ref="A1:H1"/>
    <x:mergeCell ref="A3:H3"/>
  </x:mergeCells>
  <x:conditionalFormatting sqref="G6:G28">
    <x:cfRule type="containsText" dxfId="0" priority="1" operator="containsText" text="OK"/>
    <x:cfRule type="containsText" dxfId="1" priority="2" operator="containsText" text="Review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70000076293945" hidden="0" customWidth="1"/>
    <x:col min="2" max="2" width="10.09000015258789" hidden="0" customWidth="1"/>
    <x:col min="3" max="3" width="28.940000534057617" hidden="0" customWidth="1"/>
    <x:col min="4" max="4" width="15.479999542236328" hidden="0" customWidth="1"/>
    <x:col min="5" max="5" width="15.479999542236328" hidden="0" customWidth="1"/>
    <x:col min="6" max="6" width="15.479999542236328" hidden="0" customWidth="1"/>
    <x:col min="7" max="7" width="15.479999542236328" hidden="0" customWidth="1"/>
    <x:col min="8" max="8" width="16.81999969482422" hidden="0" customWidth="1"/>
    <x:col min="9" max="9" width="43.7400016784668" hidden="0" customWidth="1"/>
  </x:cols>
  <x:sheetData>
    <x:row r="1" ht="25.5" customHeight="1">
      <x:c r="A1" s="4" t="str">
        <x:v>Sources and Basis</x:v>
      </x:c>
      <x:c r="B1" s="4"/>
      <x:c r="C1" s="4"/>
      <x:c r="D1" s="4"/>
      <x:c r="E1" s="4"/>
      <x:c r="F1" s="4"/>
      <x:c r="G1" s="4"/>
      <x:c r="H1" s="4"/>
      <x:c r="I1" s="17"/>
      <x:c r="J1" s="1"/>
      <x:c r="K1" s="1"/>
    </x:row>
    <x:row r="3">
      <x:c r="A3" s="16" t="str">
        <x:v>Company</x:v>
      </x:c>
      <x:c r="B3" s="11" t="str">
        <x:v>97146 NEWFOUNDLAND &amp; LABRADOR LTD.</x:v>
      </x:c>
      <x:c r="C3" s="11" t="str"/>
      <x:c r="D3" s="16" t="str">
        <x:v>Account</x:v>
      </x:c>
      <x:c r="E3" s="11" t="str">
        <x:v>02105 ***-***-5</x:v>
      </x:c>
      <x:c r="F3" s="11" t="str"/>
      <x:c r="G3" s="16" t="str">
        <x:v>Source Period</x:v>
      </x:c>
      <x:c r="H3" s="11" t="str">
        <x:v>2025-09-24 to 2026-03-24</x:v>
      </x:c>
      <x:c r="I3" s="11"/>
    </x:row>
    <x:row r="5" ht="25.5" customHeight="1">
      <x:c r="A5" s="10" t="str">
        <x:v>Source File</x:v>
      </x:c>
      <x:c r="B5" s="10" t="str">
        <x:v>PDF Pages</x:v>
      </x:c>
      <x:c r="C5" s="10" t="str">
        <x:v>Statement Period</x:v>
      </x:c>
      <x:c r="D5" s="10" t="str">
        <x:v>Opening Balance</x:v>
      </x:c>
      <x:c r="E5" s="10" t="str">
        <x:v>Deposits &amp; Credits</x:v>
      </x:c>
      <x:c r="F5" s="10" t="str">
        <x:v>Cheques &amp; Debits</x:v>
      </x:c>
      <x:c r="G5" s="10" t="str">
        <x:v>Closing Balance</x:v>
      </x:c>
      <x:c r="H5" s="10" t="str">
        <x:v>Account Masked</x:v>
      </x:c>
      <x:c r="I5" s="10" t="str">
        <x:v>Notes</x:v>
      </x:c>
    </x:row>
    <x:row r="6" ht="18" customHeight="1">
      <x:c r="A6" s="11" t="str">
        <x:v>Sep 2025(1).pdf</x:v>
      </x:c>
      <x:c r="B6" s="11" t="n">
        <x:v>1</x:v>
      </x:c>
      <x:c r="C6" s="11" t="str">
        <x:v>2025-09-24 to 2025-10-24</x:v>
      </x:c>
      <x:c r="D6" s="12" t="n">
        <x:v>10091.54</x:v>
      </x:c>
      <x:c r="E6" s="12" t="n">
        <x:v>7280</x:v>
      </x:c>
      <x:c r="F6" s="12" t="n">
        <x:v>6</x:v>
      </x:c>
      <x:c r="G6" s="12" t="n">
        <x:v>17365.54</x:v>
      </x:c>
      <x:c r="H6" s="11" t="str">
        <x:v>02105 ***-***-5</x:v>
      </x:c>
      <x:c r="I6" s="11" t="str">
        <x:v>RBC PDF in docs/Rbc statements.</x:v>
      </x:c>
    </x:row>
    <x:row r="7" ht="18" customHeight="1">
      <x:c r="A7" s="11" t="str">
        <x:v>Oct 2025.pdf</x:v>
      </x:c>
      <x:c r="B7" s="11" t="n">
        <x:v>1</x:v>
      </x:c>
      <x:c r="C7" s="11" t="str">
        <x:v>2025-10-24 to 2025-11-24</x:v>
      </x:c>
      <x:c r="D7" s="12" t="n">
        <x:v>17365.54</x:v>
      </x:c>
      <x:c r="E7" s="12" t="n">
        <x:v>1730</x:v>
      </x:c>
      <x:c r="F7" s="12" t="n">
        <x:v>6</x:v>
      </x:c>
      <x:c r="G7" s="12" t="n">
        <x:v>19089.54</x:v>
      </x:c>
      <x:c r="H7" s="11" t="str">
        <x:v>02105 ***-***-5</x:v>
      </x:c>
      <x:c r="I7" s="11" t="str">
        <x:v>RBC PDF in docs/Rbc statements.</x:v>
      </x:c>
    </x:row>
    <x:row r="8" ht="18" customHeight="1">
      <x:c r="A8" s="11" t="str">
        <x:v>Nov 2025(1).pdf</x:v>
      </x:c>
      <x:c r="B8" s="11" t="n">
        <x:v>1</x:v>
      </x:c>
      <x:c r="C8" s="11" t="str">
        <x:v>2025-11-24 to 2025-12-24</x:v>
      </x:c>
      <x:c r="D8" s="12" t="n">
        <x:v>19089.54</x:v>
      </x:c>
      <x:c r="E8" s="12" t="n">
        <x:v>550</x:v>
      </x:c>
      <x:c r="F8" s="12" t="n">
        <x:v>6</x:v>
      </x:c>
      <x:c r="G8" s="12" t="n">
        <x:v>19633.54</x:v>
      </x:c>
      <x:c r="H8" s="11" t="str">
        <x:v>02105 ***-***-5</x:v>
      </x:c>
      <x:c r="I8" s="11" t="str">
        <x:v>RBC PDF in docs/Rbc statements.</x:v>
      </x:c>
    </x:row>
    <x:row r="9" ht="18" customHeight="1">
      <x:c r="A9" s="11" t="str">
        <x:v>Dec 2025(1).pdf</x:v>
      </x:c>
      <x:c r="B9" s="11" t="n">
        <x:v>1</x:v>
      </x:c>
      <x:c r="C9" s="11" t="str">
        <x:v>2025-12-24 to 2026-01-23</x:v>
      </x:c>
      <x:c r="D9" s="12" t="n">
        <x:v>19633.54</x:v>
      </x:c>
      <x:c r="E9" s="12" t="n">
        <x:v>200</x:v>
      </x:c>
      <x:c r="F9" s="12" t="n">
        <x:v>6</x:v>
      </x:c>
      <x:c r="G9" s="12" t="n">
        <x:v>19827.54</x:v>
      </x:c>
      <x:c r="H9" s="11" t="str">
        <x:v>02105 ***-***-5</x:v>
      </x:c>
      <x:c r="I9" s="11" t="str">
        <x:v>RBC PDF in docs/Rbc statements.</x:v>
      </x:c>
    </x:row>
    <x:row r="10" ht="18" customHeight="1">
      <x:c r="A10" s="11" t="str">
        <x:v>Jan 2026.pdf</x:v>
      </x:c>
      <x:c r="B10" s="11" t="n">
        <x:v>1</x:v>
      </x:c>
      <x:c r="C10" s="11" t="str">
        <x:v>2026-01-23 to 2026-02-24</x:v>
      </x:c>
      <x:c r="D10" s="12" t="n">
        <x:v>19827.54</x:v>
      </x:c>
      <x:c r="E10" s="12" t="n">
        <x:v>535.7</x:v>
      </x:c>
      <x:c r="F10" s="12" t="n">
        <x:v>181.2</x:v>
      </x:c>
      <x:c r="G10" s="12" t="n">
        <x:v>20182.04</x:v>
      </x:c>
      <x:c r="H10" s="11" t="str">
        <x:v>02105 ***-***-5</x:v>
      </x:c>
      <x:c r="I10" s="11" t="str">
        <x:v>RBC PDF in docs/Rbc statements.</x:v>
      </x:c>
    </x:row>
    <x:row r="11" ht="18" customHeight="1">
      <x:c r="A11" s="11" t="str">
        <x:v>Feb 2026.pdf</x:v>
      </x:c>
      <x:c r="B11" s="11" t="n">
        <x:v>1</x:v>
      </x:c>
      <x:c r="C11" s="11" t="str">
        <x:v>2026-02-24 to 2026-03-24</x:v>
      </x:c>
      <x:c r="D11" s="12" t="n">
        <x:v>20182.04</x:v>
      </x:c>
      <x:c r="E11" s="12" t="n">
        <x:v>0</x:v>
      </x:c>
      <x:c r="F11" s="12" t="n">
        <x:v>6</x:v>
      </x:c>
      <x:c r="G11" s="12" t="n">
        <x:v>20176.04</x:v>
      </x:c>
      <x:c r="H11" s="11" t="str">
        <x:v>02105 ***-***-5</x:v>
      </x:c>
      <x:c r="I11" s="11" t="str">
        <x:v>RBC PDF in docs/Rbc statements.</x:v>
      </x:c>
    </x:row>
    <x:row r="14">
      <x:c r="A14" s="20" t="str">
        <x:v>Basis Notes</x:v>
      </x:c>
      <x:c r="B14" s="21"/>
      <x:c r="C14" s="21"/>
      <x:c r="D14" s="21"/>
      <x:c r="E14" s="21"/>
      <x:c r="F14" s="21"/>
      <x:c r="G14" s="21"/>
      <x:c r="H14" s="21"/>
      <x:c r="I14" s="22"/>
    </x:row>
    <x:row r="15">
      <x:c r="A15" s="23" t="str">
        <x:v>1. This workbook summarizes cash activity only, using the bank statements as the source.</x:v>
      </x:c>
      <x:c r="B15" s="23"/>
      <x:c r="C15" s="23"/>
      <x:c r="D15" s="23"/>
      <x:c r="E15" s="23"/>
      <x:c r="F15" s="23"/>
      <x:c r="G15" s="23"/>
      <x:c r="H15" s="23"/>
      <x:c r="I15" s="23"/>
    </x:row>
    <x:row r="16">
      <x:c r="A16" s="23" t="str">
        <x:v>2. It does not classify accrual revenue, receivables, payables, taxes, depreciation, or non-bank assets/liabilities.</x:v>
      </x:c>
      <x:c r="B16" s="23"/>
      <x:c r="C16" s="23"/>
      <x:c r="D16" s="23"/>
      <x:c r="E16" s="23"/>
      <x:c r="F16" s="23"/>
      <x:c r="G16" s="23"/>
      <x:c r="H16" s="23"/>
      <x:c r="I16" s="23"/>
    </x:row>
    <x:row r="17">
      <x:c r="A17" s="23" t="str">
        <x:v>3. Source account details are masked in this workbook; refer to original PDFs for complete bank identifiers.</x:v>
      </x:c>
      <x:c r="B17" s="23"/>
      <x:c r="C17" s="23"/>
      <x:c r="D17" s="23"/>
      <x:c r="E17" s="23"/>
      <x:c r="F17" s="23"/>
      <x:c r="G17" s="23"/>
      <x:c r="H17" s="23"/>
      <x:c r="I17" s="23"/>
    </x:row>
  </x:sheetData>
  <x:mergeCells>
    <x:mergeCell ref="A1:I1"/>
    <x:mergeCell ref="B3:C3"/>
    <x:mergeCell ref="E3:F3"/>
    <x:mergeCell ref="H3:I3"/>
    <x:mergeCell ref="A14:I14"/>
    <x:mergeCell ref="A15:I15"/>
    <x:mergeCell ref="A16:I16"/>
    <x:mergeCell ref="A17:I17"/>
  </x:mergeCells>
  <x:pageMargins left="0.7" right="0.7" top="0.75" bottom="0.75" header="0.3" footer="0.3"/>
</x:worksheet>
</file>