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 1" sheetId="2" state="visible" r:id="rId2"/>
    <sheet xmlns:r="http://schemas.openxmlformats.org/officeDocument/2006/relationships" name="Year 2" sheetId="3" state="visible" r:id="rId3"/>
    <sheet xmlns:r="http://schemas.openxmlformats.org/officeDocument/2006/relationships" name="Year 3" sheetId="4" state="visible" r:id="rId4"/>
    <sheet xmlns:r="http://schemas.openxmlformats.org/officeDocument/2006/relationships" name="Year 4" sheetId="5" state="visible" r:id="rId5"/>
    <sheet xmlns:r="http://schemas.openxmlformats.org/officeDocument/2006/relationships" name="Year 5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.00;&quot;$(&quot;#,##0.00\)"/>
    <numFmt numFmtId="165" formatCode="0.0%;\(0.0%\);\-"/>
    <numFmt numFmtId="166" formatCode="\$#,##0;&quot;$(&quot;#,##0\)"/>
    <numFmt numFmtId="167" formatCode="0.0%"/>
    <numFmt numFmtId="168" formatCode="$#,##0.00;$(#,##0.00)"/>
  </numFmts>
  <fonts count="27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b val="1"/>
      <color rgb="FF333333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C2410C"/>
      <sz val="10"/>
    </font>
    <font>
      <name val="Calibri"/>
      <charset val="1"/>
      <family val="0"/>
      <color rgb="FF333333"/>
      <sz val="10"/>
    </font>
    <font>
      <name val="Calibri"/>
      <charset val="1"/>
      <family val="0"/>
      <b val="1"/>
      <color rgb="FFC2410C"/>
      <sz val="11"/>
    </font>
    <font>
      <name val="Calibri"/>
      <charset val="1"/>
      <family val="0"/>
      <b val="1"/>
      <color rgb="FF333333"/>
      <sz val="11"/>
    </font>
    <font>
      <name val="Calibri"/>
      <charset val="1"/>
      <family val="0"/>
      <b val="1"/>
      <color rgb="FF0891B2"/>
      <sz val="10"/>
    </font>
    <font>
      <name val="Calibri"/>
      <charset val="1"/>
      <family val="0"/>
      <color rgb="FF0891B2"/>
      <sz val="10"/>
    </font>
    <font>
      <name val="Amasis MT Pro"/>
      <charset val="1"/>
      <family val="1"/>
      <color theme="1"/>
      <sz val="12"/>
    </font>
    <font>
      <name val="Cambria"/>
      <charset val="1"/>
      <family val="0"/>
      <sz val="11"/>
    </font>
    <font>
      <name val="Calibri"/>
      <charset val="1"/>
      <family val="0"/>
      <b val="1"/>
      <color rgb="FFFFFFFF"/>
      <sz val="14"/>
    </font>
    <font/>
    <font>
      <name val="Calibri"/>
      <b val="1"/>
      <color rgb="00FFFFFF"/>
      <sz val="14"/>
    </font>
    <font>
      <name val="Calibri"/>
      <b val="1"/>
      <color rgb="00333333"/>
      <sz val="10"/>
    </font>
    <font>
      <name val="Calibri"/>
      <b val="1"/>
      <color rgb="00FFFFFF"/>
      <sz val="11"/>
    </font>
    <font>
      <name val="Calibri"/>
      <b val="1"/>
      <color rgb="00C2410C"/>
      <sz val="10"/>
    </font>
    <font>
      <name val="Calibri"/>
      <color rgb="00333333"/>
      <sz val="10"/>
    </font>
    <font>
      <name val="Calibri"/>
      <b val="1"/>
      <color rgb="00C2410C"/>
      <sz val="11"/>
    </font>
    <font>
      <name val="Calibri"/>
      <b val="1"/>
      <color rgb="00333333"/>
      <sz val="11"/>
    </font>
    <font>
      <name val="Calibri"/>
      <b val="1"/>
      <color rgb="000891B2"/>
      <sz val="10"/>
    </font>
    <font>
      <name val="Calibri"/>
      <color rgb="000891B2"/>
      <sz val="10"/>
    </font>
    <font>
      <name val="Calibri"/>
      <b val="1"/>
      <color rgb="00FFFFFF"/>
      <sz val="18"/>
    </font>
  </fonts>
  <fills count="16">
    <fill>
      <patternFill/>
    </fill>
    <fill>
      <patternFill patternType="gray125"/>
    </fill>
    <fill>
      <patternFill patternType="solid">
        <fgColor rgb="FFC2410C"/>
        <bgColor rgb="FF993366"/>
      </patternFill>
    </fill>
    <fill>
      <patternFill patternType="solid">
        <fgColor rgb="FFFED7AA"/>
        <bgColor rgb="FFFFEDD5"/>
      </patternFill>
    </fill>
    <fill>
      <patternFill patternType="solid">
        <fgColor rgb="FFFFEDD5"/>
        <bgColor rgb="FFFFFFFF"/>
      </patternFill>
    </fill>
    <fill>
      <patternFill patternType="solid">
        <fgColor rgb="FFF97316"/>
        <bgColor rgb="FFFF9900"/>
      </patternFill>
    </fill>
    <fill>
      <patternFill patternType="solid">
        <fgColor rgb="FFCFFAFE"/>
        <bgColor rgb="FFECFEFF"/>
      </patternFill>
    </fill>
    <fill>
      <patternFill patternType="solid">
        <fgColor rgb="FFECFEFF"/>
        <bgColor rgb="FFFFFFFF"/>
      </patternFill>
    </fill>
    <fill>
      <patternFill patternType="solid">
        <fgColor rgb="FFA5F3FC"/>
        <bgColor rgb="FFCFFAFE"/>
      </patternFill>
    </fill>
    <fill>
      <patternFill patternType="solid">
        <fgColor rgb="00C2410C"/>
      </patternFill>
    </fill>
    <fill>
      <patternFill patternType="solid">
        <fgColor rgb="00FED7AA"/>
      </patternFill>
    </fill>
    <fill>
      <patternFill patternType="solid">
        <fgColor rgb="00FFEDD5"/>
      </patternFill>
    </fill>
    <fill>
      <patternFill patternType="solid">
        <fgColor rgb="00F97316"/>
      </patternFill>
    </fill>
    <fill>
      <patternFill patternType="solid">
        <fgColor rgb="00CFFAFE"/>
      </patternFill>
    </fill>
    <fill>
      <patternFill patternType="solid">
        <fgColor rgb="00ECFEFF"/>
      </patternFill>
    </fill>
    <fill>
      <patternFill patternType="solid">
        <fgColor rgb="00A5F3FC"/>
      </patternFill>
    </fill>
  </fills>
  <borders count="1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/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/>
      <top style="thin">
        <color rgb="00333333"/>
      </top>
      <bottom style="thin">
        <color rgb="00333333"/>
      </bottom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left" vertical="center" indent="1"/>
    </xf>
    <xf numFmtId="164" fontId="8" fillId="0" borderId="1" applyAlignment="1" pivotButton="0" quotePrefix="0" xfId="0">
      <alignment horizontal="right" vertical="center" indent="1"/>
    </xf>
    <xf numFmtId="0" fontId="9" fillId="3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 indent="1"/>
    </xf>
    <xf numFmtId="0" fontId="11" fillId="6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right" vertical="center" indent="1"/>
    </xf>
    <xf numFmtId="164" fontId="9" fillId="3" borderId="1" applyAlignment="1" pivotButton="0" quotePrefix="0" xfId="0">
      <alignment horizontal="right" vertical="center" indent="1"/>
    </xf>
    <xf numFmtId="0" fontId="11" fillId="8" borderId="1" applyAlignment="1" pivotButton="0" quotePrefix="0" xfId="0">
      <alignment horizontal="left" vertical="center"/>
    </xf>
    <xf numFmtId="9" fontId="11" fillId="6" borderId="1" applyAlignment="1" pivotButton="0" quotePrefix="0" xfId="0">
      <alignment horizontal="right" vertical="center" indent="1"/>
    </xf>
    <xf numFmtId="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general" vertical="bottom"/>
    </xf>
    <xf numFmtId="0" fontId="1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 indent="1"/>
    </xf>
    <xf numFmtId="9" fontId="8" fillId="0" borderId="1" applyAlignment="1" pivotButton="0" quotePrefix="0" xfId="0">
      <alignment horizontal="right" vertical="center" indent="1"/>
    </xf>
    <xf numFmtId="165" fontId="10" fillId="4" borderId="1" applyAlignment="1" pivotButton="0" quotePrefix="0" xfId="0">
      <alignment horizontal="right" vertical="center" indent="1"/>
    </xf>
    <xf numFmtId="166" fontId="12" fillId="7" borderId="1" applyAlignment="1" pivotButton="0" quotePrefix="0" xfId="0">
      <alignment horizontal="right" vertical="center" indent="1"/>
    </xf>
    <xf numFmtId="165" fontId="12" fillId="7" borderId="1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165" fontId="8" fillId="0" borderId="1" applyAlignment="1" pivotButton="0" quotePrefix="0" xfId="0">
      <alignment horizontal="right" vertical="center" indent="1"/>
    </xf>
    <xf numFmtId="9" fontId="10" fillId="4" borderId="1" applyAlignment="1" pivotButton="0" quotePrefix="0" xfId="0">
      <alignment horizontal="right" vertical="center" indent="1"/>
    </xf>
    <xf numFmtId="0" fontId="9" fillId="3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167" fontId="9" fillId="3" borderId="1" applyAlignment="1" pivotButton="0" quotePrefix="0" xfId="0">
      <alignment horizontal="right" vertical="center" indent="1"/>
    </xf>
    <xf numFmtId="167" fontId="11" fillId="6" borderId="1" applyAlignment="1" pivotButton="0" quotePrefix="0" xfId="0">
      <alignment horizontal="right" vertical="center" indent="1"/>
    </xf>
    <xf numFmtId="167" fontId="7" fillId="4" borderId="1" applyAlignment="1" pivotButton="0" quotePrefix="0" xfId="0">
      <alignment horizontal="right" vertical="center" indent="1"/>
    </xf>
    <xf numFmtId="167" fontId="12" fillId="7" borderId="1" applyAlignment="1" pivotButton="0" quotePrefix="0" xfId="0">
      <alignment horizontal="right" vertical="center" indent="1"/>
    </xf>
    <xf numFmtId="9" fontId="9" fillId="3" borderId="1" applyAlignment="1" pivotButton="0" quotePrefix="0" xfId="0">
      <alignment horizontal="right" vertical="center" indent="1"/>
    </xf>
    <xf numFmtId="165" fontId="11" fillId="6" borderId="1" applyAlignment="1" pivotButton="0" quotePrefix="0" xfId="0">
      <alignment horizontal="right" vertical="center" indent="1"/>
    </xf>
    <xf numFmtId="165" fontId="7" fillId="4" borderId="1" applyAlignment="1" pivotButton="0" quotePrefix="0" xfId="0">
      <alignment horizontal="right" vertical="center" indent="1"/>
    </xf>
    <xf numFmtId="0" fontId="11" fillId="6" borderId="1" applyAlignment="1" pivotButton="0" quotePrefix="0" xfId="0">
      <alignment horizontal="right" vertical="center" indent="1"/>
    </xf>
    <xf numFmtId="9" fontId="14" fillId="0" borderId="0" applyAlignment="1" pivotButton="0" quotePrefix="0" xfId="0">
      <alignment horizontal="general" vertical="bottom"/>
    </xf>
    <xf numFmtId="166" fontId="14" fillId="0" borderId="0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6" fillId="9" borderId="7" applyAlignment="1" pivotButton="0" quotePrefix="0" xfId="0">
      <alignment horizontal="center" vertical="center"/>
    </xf>
    <xf numFmtId="0" fontId="0" fillId="9" borderId="7" pivotButton="0" quotePrefix="0" xfId="0"/>
    <xf numFmtId="0" fontId="18" fillId="10" borderId="7" applyAlignment="1" pivotButton="0" quotePrefix="0" xfId="0">
      <alignment horizontal="left" vertical="center"/>
    </xf>
    <xf numFmtId="0" fontId="18" fillId="11" borderId="7" applyAlignment="1" pivotButton="0" quotePrefix="0" xfId="0">
      <alignment horizontal="center" vertical="center"/>
    </xf>
    <xf numFmtId="0" fontId="19" fillId="12" borderId="7" applyAlignment="1" pivotButton="0" quotePrefix="0" xfId="0">
      <alignment horizontal="center" vertical="center"/>
    </xf>
    <xf numFmtId="0" fontId="19" fillId="12" borderId="7" applyAlignment="1" pivotButton="0" quotePrefix="0" xfId="0">
      <alignment horizontal="left" vertical="center"/>
    </xf>
    <xf numFmtId="0" fontId="20" fillId="11" borderId="7" applyAlignment="1" pivotButton="0" quotePrefix="0" xfId="0">
      <alignment horizontal="right" vertical="center" indent="1"/>
    </xf>
    <xf numFmtId="0" fontId="21" fillId="0" borderId="7" applyAlignment="1" pivotButton="0" quotePrefix="0" xfId="0">
      <alignment horizontal="left" vertical="center" indent="1"/>
    </xf>
    <xf numFmtId="168" fontId="21" fillId="0" borderId="7" applyAlignment="1" pivotButton="0" quotePrefix="0" xfId="0">
      <alignment horizontal="right" vertical="center" indent="1"/>
    </xf>
    <xf numFmtId="0" fontId="22" fillId="10" borderId="7" applyAlignment="1" pivotButton="0" quotePrefix="0" xfId="0">
      <alignment horizontal="left" vertical="center"/>
    </xf>
    <xf numFmtId="168" fontId="23" fillId="11" borderId="7" applyAlignment="1" pivotButton="0" quotePrefix="0" xfId="0">
      <alignment horizontal="right" vertical="center" indent="1"/>
    </xf>
    <xf numFmtId="0" fontId="24" fillId="13" borderId="7" applyAlignment="1" pivotButton="0" quotePrefix="0" xfId="0">
      <alignment horizontal="left" vertical="center"/>
    </xf>
    <xf numFmtId="0" fontId="25" fillId="14" borderId="7" applyAlignment="1" pivotButton="0" quotePrefix="0" xfId="0">
      <alignment horizontal="right" vertical="center" indent="1"/>
    </xf>
    <xf numFmtId="168" fontId="22" fillId="10" borderId="7" applyAlignment="1" pivotButton="0" quotePrefix="0" xfId="0">
      <alignment horizontal="right" vertical="center" indent="1"/>
    </xf>
    <xf numFmtId="0" fontId="24" fillId="15" borderId="7" applyAlignment="1" pivotButton="0" quotePrefix="0" xfId="0">
      <alignment horizontal="left" vertical="center"/>
    </xf>
    <xf numFmtId="9" fontId="24" fillId="13" borderId="7" applyAlignment="1" pivotButton="0" quotePrefix="0" xfId="0">
      <alignment horizontal="right" vertical="center" indent="1"/>
    </xf>
    <xf numFmtId="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0" fontId="16" fillId="0" borderId="6" pivotButton="0" quotePrefix="0" xfId="0"/>
    <xf numFmtId="0" fontId="17" fillId="9" borderId="7" applyAlignment="1" pivotButton="0" quotePrefix="0" xfId="0">
      <alignment horizontal="center" vertical="center"/>
    </xf>
    <xf numFmtId="0" fontId="18" fillId="11" borderId="7" applyAlignment="1" pivotButton="0" quotePrefix="0" xfId="0">
      <alignment horizontal="right" vertical="center" indent="1"/>
    </xf>
    <xf numFmtId="9" fontId="21" fillId="0" borderId="7" applyAlignment="1" pivotButton="0" quotePrefix="0" xfId="0">
      <alignment horizontal="right" vertical="center" indent="1"/>
    </xf>
    <xf numFmtId="165" fontId="23" fillId="11" borderId="7" applyAlignment="1" pivotButton="0" quotePrefix="0" xfId="0">
      <alignment horizontal="right" vertical="center" indent="1"/>
    </xf>
    <xf numFmtId="166" fontId="25" fillId="14" borderId="7" applyAlignment="1" pivotButton="0" quotePrefix="0" xfId="0">
      <alignment horizontal="right" vertical="center" indent="1"/>
    </xf>
    <xf numFmtId="165" fontId="25" fillId="14" borderId="7" applyAlignment="1" pivotButton="0" quotePrefix="0" xfId="0">
      <alignment horizontal="right" vertical="center" indent="1"/>
    </xf>
    <xf numFmtId="0" fontId="21" fillId="0" borderId="7" applyAlignment="1" pivotButton="0" quotePrefix="0" xfId="0">
      <alignment horizontal="right" vertical="center" indent="1"/>
    </xf>
    <xf numFmtId="165" fontId="21" fillId="0" borderId="7" applyAlignment="1" pivotButton="0" quotePrefix="0" xfId="0">
      <alignment horizontal="right" vertical="center" indent="1"/>
    </xf>
    <xf numFmtId="9" fontId="23" fillId="11" borderId="7" applyAlignment="1" pivotButton="0" quotePrefix="0" xfId="0">
      <alignment horizontal="right" vertical="center" indent="1"/>
    </xf>
    <xf numFmtId="0" fontId="22" fillId="10" borderId="7" applyAlignment="1" pivotButton="0" quotePrefix="0" xfId="0">
      <alignment horizontal="right" vertical="center" indent="1"/>
    </xf>
    <xf numFmtId="166" fontId="20" fillId="11" borderId="7" applyAlignment="1" pivotButton="0" quotePrefix="0" xfId="0">
      <alignment horizontal="right" vertical="center" indent="1"/>
    </xf>
    <xf numFmtId="167" fontId="22" fillId="10" borderId="7" applyAlignment="1" pivotButton="0" quotePrefix="0" xfId="0">
      <alignment horizontal="right" vertical="center" indent="1"/>
    </xf>
    <xf numFmtId="167" fontId="24" fillId="13" borderId="7" applyAlignment="1" pivotButton="0" quotePrefix="0" xfId="0">
      <alignment horizontal="right" vertical="center" indent="1"/>
    </xf>
    <xf numFmtId="167" fontId="20" fillId="11" borderId="7" applyAlignment="1" pivotButton="0" quotePrefix="0" xfId="0">
      <alignment horizontal="right" vertical="center" indent="1"/>
    </xf>
    <xf numFmtId="167" fontId="25" fillId="14" borderId="7" applyAlignment="1" pivotButton="0" quotePrefix="0" xfId="0">
      <alignment horizontal="right" vertical="center" indent="1"/>
    </xf>
    <xf numFmtId="9" fontId="22" fillId="10" borderId="7" applyAlignment="1" pivotButton="0" quotePrefix="0" xfId="0">
      <alignment horizontal="right" vertical="center" indent="1"/>
    </xf>
    <xf numFmtId="165" fontId="24" fillId="13" borderId="7" applyAlignment="1" pivotButton="0" quotePrefix="0" xfId="0">
      <alignment horizontal="right" vertical="center" indent="1"/>
    </xf>
    <xf numFmtId="165" fontId="20" fillId="11" borderId="7" applyAlignment="1" pivotButton="0" quotePrefix="0" xfId="0">
      <alignment horizontal="right" vertical="center" indent="1"/>
    </xf>
    <xf numFmtId="0" fontId="24" fillId="13" borderId="7" applyAlignment="1" pivotButton="0" quotePrefix="0" xfId="0">
      <alignment horizontal="right" vertical="center" indent="1"/>
    </xf>
    <xf numFmtId="9" fontId="16" fillId="0" borderId="6" pivotButton="0" quotePrefix="0" xfId="0"/>
    <xf numFmtId="166" fontId="16" fillId="0" borderId="6" pivotButton="0" quotePrefix="0" xfId="0"/>
    <xf numFmtId="167" fontId="16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C0C0C0"/>
      <rgbColor rgb="FF808080"/>
      <rgbColor rgb="FF9999FF"/>
      <rgbColor rgb="FF993366"/>
      <rgbColor rgb="FFFFEDD5"/>
      <rgbColor rgb="FFCFF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EFF"/>
      <rgbColor rgb="FFA5F3FC"/>
      <rgbColor rgb="FFFFFF99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F97316"/>
      <rgbColor rgb="FF666699"/>
      <rgbColor rgb="FF969696"/>
      <rgbColor rgb="FF003366"/>
      <rgbColor rgb="FF339966"/>
      <rgbColor rgb="FF003300"/>
      <rgbColor rgb="FF333300"/>
      <rgbColor rgb="FFC2410C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65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42" min="1" max="1"/>
    <col width="3" customWidth="1" style="42" min="2" max="2"/>
    <col width="42" customWidth="1" style="42" min="3" max="3"/>
    <col width="15" customWidth="1" style="42" min="4" max="4"/>
    <col width="15" customWidth="1" style="42" min="5" max="5"/>
    <col width="15" customWidth="1" style="42" min="6" max="6"/>
    <col width="15" customWidth="1" style="42" min="7" max="7"/>
    <col width="15" customWidth="1" style="42" min="8" max="8"/>
  </cols>
  <sheetData>
    <row r="1" ht="32" customHeight="1" s="42">
      <c r="C1" s="43" t="inlineStr">
        <is>
          <t>YEARLY PROJECTIONS</t>
        </is>
      </c>
      <c r="D1" s="85" t="n"/>
      <c r="E1" s="85" t="n"/>
      <c r="F1" s="85" t="n"/>
      <c r="G1" s="85" t="n"/>
      <c r="H1" s="86" t="n"/>
    </row>
    <row r="2">
      <c r="C2" s="45" t="inlineStr">
        <is>
          <t>DATE</t>
        </is>
      </c>
      <c r="D2" s="46" t="inlineStr">
        <is>
          <t>June 2026 - May 2027</t>
        </is>
      </c>
      <c r="E2" s="46" t="inlineStr">
        <is>
          <t>June 2027 - May 2028</t>
        </is>
      </c>
      <c r="F2" s="46" t="inlineStr">
        <is>
          <t>June 2028 - May 2029</t>
        </is>
      </c>
      <c r="G2" s="46" t="inlineStr">
        <is>
          <t>June 2029 - May 2030</t>
        </is>
      </c>
      <c r="H2" s="46" t="inlineStr">
        <is>
          <t>June 2030 - May 2031</t>
        </is>
      </c>
    </row>
    <row r="3">
      <c r="C3" s="47" t="inlineStr"/>
      <c r="D3" s="47" t="inlineStr">
        <is>
          <t>YEAR 1</t>
        </is>
      </c>
      <c r="E3" s="47" t="inlineStr">
        <is>
          <t>YEAR 2</t>
        </is>
      </c>
      <c r="F3" s="47" t="inlineStr">
        <is>
          <t>YEAR 3</t>
        </is>
      </c>
      <c r="G3" s="47" t="inlineStr">
        <is>
          <t>YEAR 4</t>
        </is>
      </c>
      <c r="H3" s="47" t="inlineStr">
        <is>
          <t>YEAR 5</t>
        </is>
      </c>
    </row>
    <row r="4">
      <c r="C4" s="48" t="inlineStr">
        <is>
          <t>REVENUE</t>
        </is>
      </c>
      <c r="D4" s="49" t="n"/>
      <c r="E4" s="49" t="n"/>
      <c r="F4" s="49" t="n"/>
      <c r="G4" s="49" t="n"/>
      <c r="H4" s="49" t="n"/>
    </row>
    <row r="5">
      <c r="C5" s="50" t="inlineStr">
        <is>
          <t>Dashboard Subscription</t>
        </is>
      </c>
      <c r="D5" s="51" t="n">
        <v>250000</v>
      </c>
      <c r="E5" s="51" t="n">
        <v>430000</v>
      </c>
      <c r="F5" s="51" t="n">
        <v>645000</v>
      </c>
      <c r="G5" s="51" t="n">
        <v>895000</v>
      </c>
      <c r="H5" s="51" t="n">
        <v>1160000</v>
      </c>
    </row>
    <row r="6">
      <c r="C6" s="50" t="inlineStr">
        <is>
          <t>LMS Subscription</t>
        </is>
      </c>
      <c r="D6" s="51" t="n">
        <v>127000</v>
      </c>
      <c r="E6" s="51" t="n">
        <v>220000</v>
      </c>
      <c r="F6" s="51" t="n">
        <v>340000</v>
      </c>
      <c r="G6" s="51" t="n">
        <v>470000</v>
      </c>
      <c r="H6" s="51" t="n">
        <v>610000</v>
      </c>
    </row>
    <row r="7">
      <c r="C7" s="50" t="inlineStr">
        <is>
          <t>Onboarding Fees</t>
        </is>
      </c>
      <c r="D7" s="51" t="n">
        <v>72500</v>
      </c>
      <c r="E7" s="51" t="n">
        <v>63000</v>
      </c>
      <c r="F7" s="51" t="n">
        <v>80000</v>
      </c>
      <c r="G7" s="51" t="n">
        <v>110000</v>
      </c>
      <c r="H7" s="51" t="n">
        <v>145000</v>
      </c>
    </row>
    <row r="8">
      <c r="C8" s="50" t="inlineStr">
        <is>
          <t>Professional Services</t>
        </is>
      </c>
      <c r="D8" s="51" t="n">
        <v>15000</v>
      </c>
      <c r="E8" s="51" t="n">
        <v>22000</v>
      </c>
      <c r="F8" s="51" t="n">
        <v>40000</v>
      </c>
      <c r="G8" s="51" t="n">
        <v>60000</v>
      </c>
      <c r="H8" s="51" t="n">
        <v>85000</v>
      </c>
    </row>
    <row r="9">
      <c r="C9" s="52" t="inlineStr">
        <is>
          <t>Gross Revenue</t>
        </is>
      </c>
      <c r="D9" s="53" t="n">
        <v>464500</v>
      </c>
      <c r="E9" s="53" t="n">
        <v>735000</v>
      </c>
      <c r="F9" s="53" t="n">
        <v>1105000</v>
      </c>
      <c r="G9" s="53" t="n">
        <v>1535000</v>
      </c>
      <c r="H9" s="53" t="n">
        <v>2000000</v>
      </c>
    </row>
    <row r="10">
      <c r="C10" s="54" t="inlineStr">
        <is>
          <t>Less: Discounts &amp; Allowances</t>
        </is>
      </c>
      <c r="D10" s="55" t="n"/>
      <c r="E10" s="55" t="n"/>
      <c r="F10" s="55" t="n"/>
      <c r="G10" s="55" t="n"/>
      <c r="H10" s="55" t="n"/>
    </row>
    <row r="11">
      <c r="C11" s="50" t="inlineStr">
        <is>
          <t>Pilot Promotional Discounts</t>
        </is>
      </c>
      <c r="D11" s="51" t="n">
        <v>4000</v>
      </c>
      <c r="E11" s="51" t="n">
        <v>3000</v>
      </c>
      <c r="F11" s="51" t="n">
        <v>2000</v>
      </c>
      <c r="G11" s="51" t="n">
        <v>1000</v>
      </c>
      <c r="H11" s="51" t="n">
        <v>500</v>
      </c>
    </row>
    <row r="12">
      <c r="C12" s="50" t="inlineStr">
        <is>
          <t>Partner Referral Credits</t>
        </is>
      </c>
      <c r="D12" s="51" t="n">
        <v>3000</v>
      </c>
      <c r="E12" s="51" t="n">
        <v>7000</v>
      </c>
      <c r="F12" s="51" t="n">
        <v>12000</v>
      </c>
      <c r="G12" s="51" t="n">
        <v>17000</v>
      </c>
      <c r="H12" s="51" t="n">
        <v>22000</v>
      </c>
    </row>
    <row r="13">
      <c r="C13" s="50" t="inlineStr">
        <is>
          <t>Early Adopter Credits</t>
        </is>
      </c>
      <c r="D13" s="51" t="n">
        <v>2000</v>
      </c>
      <c r="E13" s="51" t="n">
        <v>4000</v>
      </c>
      <c r="F13" s="51" t="n">
        <v>3000</v>
      </c>
      <c r="G13" s="51" t="n">
        <v>2000</v>
      </c>
      <c r="H13" s="51" t="n">
        <v>1000</v>
      </c>
    </row>
    <row r="14">
      <c r="C14" s="50" t="inlineStr">
        <is>
          <t>Refunds &amp; Credits</t>
        </is>
      </c>
      <c r="D14" s="51" t="n">
        <v>1000</v>
      </c>
      <c r="E14" s="51" t="n">
        <v>3000</v>
      </c>
      <c r="F14" s="51" t="n">
        <v>5000</v>
      </c>
      <c r="G14" s="51" t="n">
        <v>8000</v>
      </c>
      <c r="H14" s="51" t="n">
        <v>9000</v>
      </c>
    </row>
    <row r="15">
      <c r="C15" s="52" t="inlineStr">
        <is>
          <t>Total Discounts &amp; Allowances</t>
        </is>
      </c>
      <c r="D15" s="53" t="n">
        <v>10000</v>
      </c>
      <c r="E15" s="53" t="n">
        <v>17000</v>
      </c>
      <c r="F15" s="53" t="n">
        <v>22000</v>
      </c>
      <c r="G15" s="53" t="n">
        <v>28000</v>
      </c>
      <c r="H15" s="53" t="n">
        <v>32500</v>
      </c>
    </row>
    <row r="16">
      <c r="C16" s="48" t="inlineStr">
        <is>
          <t>NET REVENUE</t>
        </is>
      </c>
      <c r="D16" s="56" t="n">
        <v>454500</v>
      </c>
      <c r="E16" s="56" t="n">
        <v>718000</v>
      </c>
      <c r="F16" s="56" t="n">
        <v>1083000</v>
      </c>
      <c r="G16" s="56" t="n">
        <v>1507000</v>
      </c>
      <c r="H16" s="56" t="n">
        <v>1967500</v>
      </c>
    </row>
    <row r="17">
      <c r="C17" s="48" t="inlineStr">
        <is>
          <t>COST OF REVENUE</t>
        </is>
      </c>
      <c r="D17" s="49" t="n"/>
      <c r="E17" s="49" t="n"/>
      <c r="F17" s="49" t="n"/>
      <c r="G17" s="49" t="n"/>
      <c r="H17" s="49" t="n"/>
    </row>
    <row r="18">
      <c r="C18" s="50" t="inlineStr">
        <is>
          <t>Cloud Hosting &amp; Infrastructure</t>
        </is>
      </c>
      <c r="D18" s="51" t="n">
        <v>18000</v>
      </c>
      <c r="E18" s="51" t="n">
        <v>33000</v>
      </c>
      <c r="F18" s="51" t="n">
        <v>55000</v>
      </c>
      <c r="G18" s="51" t="n">
        <v>75000</v>
      </c>
      <c r="H18" s="51" t="n">
        <v>100000</v>
      </c>
    </row>
    <row r="19">
      <c r="C19" s="50" t="inlineStr">
        <is>
          <t>Third-Party API Fees (POS / Labor / Reservation)</t>
        </is>
      </c>
      <c r="D19" s="51" t="n">
        <v>21000</v>
      </c>
      <c r="E19" s="51" t="n">
        <v>47000</v>
      </c>
      <c r="F19" s="51" t="n">
        <v>70000</v>
      </c>
      <c r="G19" s="51" t="n">
        <v>90000</v>
      </c>
      <c r="H19" s="51" t="n">
        <v>115000</v>
      </c>
    </row>
    <row r="20">
      <c r="C20" s="50" t="inlineStr">
        <is>
          <t>Payment Processing</t>
        </is>
      </c>
      <c r="D20" s="51" t="n">
        <v>13500</v>
      </c>
      <c r="E20" s="51" t="n">
        <v>21000</v>
      </c>
      <c r="F20" s="51" t="n">
        <v>32000</v>
      </c>
      <c r="G20" s="51" t="n">
        <v>45000</v>
      </c>
      <c r="H20" s="51" t="n">
        <v>58000</v>
      </c>
    </row>
    <row r="21">
      <c r="C21" s="50" t="inlineStr">
        <is>
          <t>Customer Support</t>
        </is>
      </c>
      <c r="D21" s="51" t="n">
        <v>24000</v>
      </c>
      <c r="E21" s="51" t="n">
        <v>44000</v>
      </c>
      <c r="F21" s="51" t="n">
        <v>58000</v>
      </c>
      <c r="G21" s="51" t="n">
        <v>78000</v>
      </c>
      <c r="H21" s="51" t="n">
        <v>100000</v>
      </c>
    </row>
    <row r="22">
      <c r="C22" s="52" t="inlineStr">
        <is>
          <t>Total Cost of Revenue</t>
        </is>
      </c>
      <c r="D22" s="53" t="n">
        <v>76500</v>
      </c>
      <c r="E22" s="53" t="n">
        <v>145000</v>
      </c>
      <c r="F22" s="53" t="n">
        <v>215000</v>
      </c>
      <c r="G22" s="53" t="n">
        <v>288000</v>
      </c>
      <c r="H22" s="53" t="n">
        <v>373000</v>
      </c>
    </row>
    <row r="23">
      <c r="C23" s="48" t="inlineStr">
        <is>
          <t>GROSS PROFIT</t>
        </is>
      </c>
      <c r="D23" s="56" t="n">
        <v>378000</v>
      </c>
      <c r="E23" s="56" t="n">
        <v>573000</v>
      </c>
      <c r="F23" s="56" t="n">
        <v>868000</v>
      </c>
      <c r="G23" s="56" t="n">
        <v>1219000</v>
      </c>
      <c r="H23" s="56" t="n">
        <v>1594500</v>
      </c>
    </row>
    <row r="24">
      <c r="C24" s="57" t="inlineStr">
        <is>
          <t>Gross Margin %</t>
        </is>
      </c>
      <c r="D24" s="58" t="n">
        <v>0.8316831683168316</v>
      </c>
      <c r="E24" s="58" t="n">
        <v>0.7980501392757661</v>
      </c>
      <c r="F24" s="58" t="n">
        <v>0.801477377654663</v>
      </c>
      <c r="G24" s="58" t="n">
        <v>0.8088918380889184</v>
      </c>
      <c r="H24" s="58" t="n">
        <v>0.8104193138500635</v>
      </c>
    </row>
    <row r="25">
      <c r="C25" s="48" t="inlineStr">
        <is>
          <t>VARIABLE OPERATING EXPENSES</t>
        </is>
      </c>
      <c r="D25" s="49" t="n"/>
      <c r="E25" s="49" t="n"/>
      <c r="F25" s="49" t="n"/>
      <c r="G25" s="49" t="n"/>
      <c r="H25" s="49" t="n"/>
    </row>
    <row r="26">
      <c r="C26" s="54" t="inlineStr">
        <is>
          <t>Sales &amp; Marketing</t>
        </is>
      </c>
      <c r="D26" s="55" t="n"/>
      <c r="E26" s="55" t="n"/>
      <c r="F26" s="55" t="n"/>
      <c r="G26" s="55" t="n"/>
      <c r="H26" s="55" t="n"/>
    </row>
    <row r="27">
      <c r="C27" s="50" t="inlineStr">
        <is>
          <t>Advertising - Physical</t>
        </is>
      </c>
      <c r="D27" s="51" t="n">
        <v>15000</v>
      </c>
      <c r="E27" s="51" t="n">
        <v>35000</v>
      </c>
      <c r="F27" s="51" t="n">
        <v>60000</v>
      </c>
      <c r="G27" s="51" t="n">
        <v>85000</v>
      </c>
      <c r="H27" s="51" t="n">
        <v>110000</v>
      </c>
    </row>
    <row r="28">
      <c r="C28" s="50" t="inlineStr">
        <is>
          <t>Advertising - Digital</t>
        </is>
      </c>
      <c r="D28" s="51" t="n">
        <v>25000</v>
      </c>
      <c r="E28" s="51" t="n">
        <v>95000</v>
      </c>
      <c r="F28" s="51" t="n">
        <v>155000</v>
      </c>
      <c r="G28" s="51" t="n">
        <v>225000</v>
      </c>
      <c r="H28" s="51" t="n">
        <v>280000</v>
      </c>
    </row>
    <row r="29">
      <c r="C29" s="50" t="inlineStr">
        <is>
          <t>Sales Commissions ($100 per new paid customer)</t>
        </is>
      </c>
      <c r="D29" s="51" t="n">
        <v>14500</v>
      </c>
      <c r="E29" s="51" t="n">
        <v>12000</v>
      </c>
      <c r="F29" s="51" t="n">
        <v>16100</v>
      </c>
      <c r="G29" s="51" t="n">
        <v>19500</v>
      </c>
      <c r="H29" s="51" t="n">
        <v>22100</v>
      </c>
    </row>
    <row r="30">
      <c r="C30" s="52" t="inlineStr">
        <is>
          <t>Total Sales &amp; Marketing</t>
        </is>
      </c>
      <c r="D30" s="53" t="n">
        <v>54500</v>
      </c>
      <c r="E30" s="53" t="n">
        <v>142000</v>
      </c>
      <c r="F30" s="53" t="n">
        <v>231100</v>
      </c>
      <c r="G30" s="53" t="n">
        <v>329500</v>
      </c>
      <c r="H30" s="53" t="n">
        <v>412100</v>
      </c>
    </row>
    <row r="31">
      <c r="C31" s="54" t="inlineStr">
        <is>
          <t>Research &amp; Development</t>
        </is>
      </c>
      <c r="D31" s="55" t="n"/>
      <c r="E31" s="55" t="n"/>
      <c r="F31" s="55" t="n"/>
      <c r="G31" s="55" t="n"/>
      <c r="H31" s="55" t="n"/>
    </row>
    <row r="32">
      <c r="C32" s="50" t="inlineStr">
        <is>
          <t>Technology (Dev Tools)</t>
        </is>
      </c>
      <c r="D32" s="51" t="n">
        <v>10000</v>
      </c>
      <c r="E32" s="51" t="n">
        <v>18000</v>
      </c>
      <c r="F32" s="51" t="n">
        <v>25000</v>
      </c>
      <c r="G32" s="51" t="n">
        <v>32000</v>
      </c>
      <c r="H32" s="51" t="n">
        <v>40000</v>
      </c>
    </row>
    <row r="33">
      <c r="C33" s="50" t="inlineStr">
        <is>
          <t>Software Licenses</t>
        </is>
      </c>
      <c r="D33" s="51" t="n">
        <v>5000</v>
      </c>
      <c r="E33" s="51" t="n">
        <v>8000</v>
      </c>
      <c r="F33" s="51" t="n">
        <v>12000</v>
      </c>
      <c r="G33" s="51" t="n">
        <v>15000</v>
      </c>
      <c r="H33" s="51" t="n">
        <v>18000</v>
      </c>
    </row>
    <row r="34">
      <c r="C34" s="52" t="inlineStr">
        <is>
          <t>Total Research &amp; Development</t>
        </is>
      </c>
      <c r="D34" s="53" t="n">
        <v>15000</v>
      </c>
      <c r="E34" s="53" t="n">
        <v>26000</v>
      </c>
      <c r="F34" s="53" t="n">
        <v>37000</v>
      </c>
      <c r="G34" s="53" t="n">
        <v>47000</v>
      </c>
      <c r="H34" s="53" t="n">
        <v>58000</v>
      </c>
    </row>
    <row r="35">
      <c r="C35" s="54" t="inlineStr">
        <is>
          <t>General &amp; Administrative</t>
        </is>
      </c>
      <c r="D35" s="55" t="n"/>
      <c r="E35" s="55" t="n"/>
      <c r="F35" s="55" t="n"/>
      <c r="G35" s="55" t="n"/>
      <c r="H35" s="55" t="n"/>
    </row>
    <row r="36">
      <c r="C36" s="50" t="inlineStr">
        <is>
          <t>Office Supplies</t>
        </is>
      </c>
      <c r="D36" s="51" t="n">
        <v>2500</v>
      </c>
      <c r="E36" s="51" t="n">
        <v>3000</v>
      </c>
      <c r="F36" s="51" t="n">
        <v>4000</v>
      </c>
      <c r="G36" s="51" t="n">
        <v>5000</v>
      </c>
      <c r="H36" s="51" t="n">
        <v>6000</v>
      </c>
    </row>
    <row r="37">
      <c r="C37" s="50" t="inlineStr">
        <is>
          <t>Equipment</t>
        </is>
      </c>
      <c r="D37" s="51" t="n">
        <v>2000</v>
      </c>
      <c r="E37" s="51" t="n">
        <v>3000</v>
      </c>
      <c r="F37" s="51" t="n">
        <v>4000</v>
      </c>
      <c r="G37" s="51" t="n">
        <v>6000</v>
      </c>
      <c r="H37" s="51" t="n">
        <v>7000</v>
      </c>
    </row>
    <row r="38">
      <c r="C38" s="50" t="inlineStr">
        <is>
          <t>IT Support &amp; Maintenance</t>
        </is>
      </c>
      <c r="D38" s="51" t="n">
        <v>2000</v>
      </c>
      <c r="E38" s="51" t="n">
        <v>3000</v>
      </c>
      <c r="F38" s="51" t="n">
        <v>6000</v>
      </c>
      <c r="G38" s="51" t="n">
        <v>7000</v>
      </c>
      <c r="H38" s="51" t="n">
        <v>9000</v>
      </c>
    </row>
    <row r="39">
      <c r="C39" s="50" t="inlineStr">
        <is>
          <t>Third-Party Services (CRM, Ticketing, Analytics)</t>
        </is>
      </c>
      <c r="D39" s="51" t="n">
        <v>8000</v>
      </c>
      <c r="E39" s="51" t="n">
        <v>13000</v>
      </c>
      <c r="F39" s="51" t="n">
        <v>20000</v>
      </c>
      <c r="G39" s="51" t="n">
        <v>26000</v>
      </c>
      <c r="H39" s="51" t="n">
        <v>32000</v>
      </c>
    </row>
    <row r="40">
      <c r="C40" s="50" t="inlineStr">
        <is>
          <t>HR &amp; Recruiting</t>
        </is>
      </c>
      <c r="D40" s="51" t="n">
        <v>2500</v>
      </c>
      <c r="E40" s="51" t="n">
        <v>3000</v>
      </c>
      <c r="F40" s="51" t="n">
        <v>4000</v>
      </c>
      <c r="G40" s="51" t="n">
        <v>4000</v>
      </c>
      <c r="H40" s="51" t="n">
        <v>4000</v>
      </c>
    </row>
    <row r="41">
      <c r="C41" s="50" t="inlineStr">
        <is>
          <t>Professional Fees</t>
        </is>
      </c>
      <c r="D41" s="51" t="n">
        <v>18000</v>
      </c>
      <c r="E41" s="51" t="n">
        <v>25000</v>
      </c>
      <c r="F41" s="51" t="n">
        <v>32000</v>
      </c>
      <c r="G41" s="51" t="n">
        <v>40000</v>
      </c>
      <c r="H41" s="51" t="n">
        <v>52000</v>
      </c>
    </row>
    <row r="42">
      <c r="C42" s="50" t="inlineStr">
        <is>
          <t>Travel</t>
        </is>
      </c>
      <c r="D42" s="51" t="n">
        <v>12000</v>
      </c>
      <c r="E42" s="51" t="n">
        <v>20000</v>
      </c>
      <c r="F42" s="51" t="n">
        <v>27000</v>
      </c>
      <c r="G42" s="51" t="n">
        <v>34000</v>
      </c>
      <c r="H42" s="51" t="n">
        <v>42000</v>
      </c>
    </row>
    <row r="43">
      <c r="C43" s="50" t="inlineStr">
        <is>
          <t>Training &amp; Development</t>
        </is>
      </c>
      <c r="D43" s="51" t="n">
        <v>3000</v>
      </c>
      <c r="E43" s="51" t="n">
        <v>5000</v>
      </c>
      <c r="F43" s="51" t="n">
        <v>9000</v>
      </c>
      <c r="G43" s="51" t="n">
        <v>12000</v>
      </c>
      <c r="H43" s="51" t="n">
        <v>14000</v>
      </c>
    </row>
    <row r="44">
      <c r="C44" s="52" t="inlineStr">
        <is>
          <t>Total General &amp; Administrative</t>
        </is>
      </c>
      <c r="D44" s="53" t="n">
        <v>50000</v>
      </c>
      <c r="E44" s="53" t="n">
        <v>75000</v>
      </c>
      <c r="F44" s="53" t="n">
        <v>106000</v>
      </c>
      <c r="G44" s="53" t="n">
        <v>134000</v>
      </c>
      <c r="H44" s="53" t="n">
        <v>166000</v>
      </c>
    </row>
    <row r="45">
      <c r="C45" s="48" t="inlineStr">
        <is>
          <t>TOTAL VARIABLE OPERATING EXPENSES</t>
        </is>
      </c>
      <c r="D45" s="56" t="n">
        <v>119500</v>
      </c>
      <c r="E45" s="56" t="n">
        <v>243000</v>
      </c>
      <c r="F45" s="56" t="n">
        <v>374100</v>
      </c>
      <c r="G45" s="56" t="n">
        <v>510500</v>
      </c>
      <c r="H45" s="56" t="n">
        <v>636100</v>
      </c>
    </row>
    <row r="46">
      <c r="C46" s="48" t="inlineStr">
        <is>
          <t>INCOME BEFORE FIXED COST</t>
        </is>
      </c>
      <c r="D46" s="56" t="n">
        <v>258500</v>
      </c>
      <c r="E46" s="56" t="n">
        <v>330000</v>
      </c>
      <c r="F46" s="56" t="n">
        <v>493900</v>
      </c>
      <c r="G46" s="56" t="n">
        <v>708500</v>
      </c>
      <c r="H46" s="56" t="n">
        <v>958400</v>
      </c>
    </row>
    <row r="47">
      <c r="C47" s="57" t="inlineStr">
        <is>
          <t>Income Before Fixed Cost Margin %</t>
        </is>
      </c>
      <c r="D47" s="58" t="n">
        <v>0.5687568756875687</v>
      </c>
      <c r="E47" s="58" t="n">
        <v>0.4596100278551532</v>
      </c>
      <c r="F47" s="58" t="n">
        <v>0.4560480147737765</v>
      </c>
      <c r="G47" s="58" t="n">
        <v>0.4701393497013935</v>
      </c>
      <c r="H47" s="58" t="n">
        <v>0.4871156289707751</v>
      </c>
    </row>
    <row r="48">
      <c r="C48" s="48" t="inlineStr">
        <is>
          <t>FIXED COSTS</t>
        </is>
      </c>
      <c r="D48" s="49" t="n"/>
      <c r="E48" s="49" t="n"/>
      <c r="F48" s="49" t="n"/>
      <c r="G48" s="49" t="n"/>
      <c r="H48" s="49" t="n"/>
    </row>
    <row r="49">
      <c r="C49" s="54" t="inlineStr">
        <is>
          <t>Salaries &amp; Benefits (Base)</t>
        </is>
      </c>
      <c r="D49" s="55" t="n"/>
      <c r="E49" s="55" t="n"/>
      <c r="F49" s="55" t="n"/>
      <c r="G49" s="55" t="n"/>
      <c r="H49" s="55" t="n"/>
    </row>
    <row r="50">
      <c r="C50" s="50" t="inlineStr">
        <is>
          <t>Executive</t>
        </is>
      </c>
      <c r="D50" s="51" t="n">
        <v>140000</v>
      </c>
      <c r="E50" s="51" t="n">
        <v>170000</v>
      </c>
      <c r="F50" s="51" t="n">
        <v>210000</v>
      </c>
      <c r="G50" s="51" t="n">
        <v>260000</v>
      </c>
      <c r="H50" s="51" t="n">
        <v>310000</v>
      </c>
    </row>
    <row r="51">
      <c r="C51" s="50" t="inlineStr">
        <is>
          <t>Engineering</t>
        </is>
      </c>
      <c r="D51" s="51" t="n"/>
      <c r="E51" s="51" t="n"/>
      <c r="F51" s="51" t="n">
        <v>70000</v>
      </c>
      <c r="G51" s="51" t="n">
        <v>95000</v>
      </c>
      <c r="H51" s="51" t="n">
        <v>115000</v>
      </c>
    </row>
    <row r="52">
      <c r="C52" s="50" t="inlineStr">
        <is>
          <t>Sales</t>
        </is>
      </c>
      <c r="D52" s="51" t="n">
        <v>31250</v>
      </c>
      <c r="E52" s="51" t="n">
        <v>31250</v>
      </c>
      <c r="F52" s="51" t="n">
        <v>33000</v>
      </c>
      <c r="G52" s="51" t="n">
        <v>85000</v>
      </c>
      <c r="H52" s="51" t="n">
        <v>105000</v>
      </c>
    </row>
    <row r="53">
      <c r="C53" s="50" t="inlineStr">
        <is>
          <t>Customer Success</t>
        </is>
      </c>
      <c r="D53" s="51" t="n"/>
      <c r="E53" s="51" t="n">
        <v>45000</v>
      </c>
      <c r="F53" s="51" t="n">
        <v>72000</v>
      </c>
      <c r="G53" s="51" t="n">
        <v>88000</v>
      </c>
      <c r="H53" s="51" t="n">
        <v>115000</v>
      </c>
    </row>
    <row r="54">
      <c r="C54" s="50" t="inlineStr">
        <is>
          <t>Operations</t>
        </is>
      </c>
      <c r="D54" s="51" t="n"/>
      <c r="E54" s="51" t="n"/>
      <c r="F54" s="51" t="n"/>
      <c r="G54" s="51" t="n"/>
      <c r="H54" s="51" t="n">
        <v>70000</v>
      </c>
    </row>
    <row r="55">
      <c r="C55" s="52" t="inlineStr">
        <is>
          <t>Total Salaries &amp; Benefits</t>
        </is>
      </c>
      <c r="D55" s="53" t="n">
        <v>171250</v>
      </c>
      <c r="E55" s="53" t="n">
        <v>246250</v>
      </c>
      <c r="F55" s="53" t="n">
        <v>385000</v>
      </c>
      <c r="G55" s="53" t="n">
        <v>528000</v>
      </c>
      <c r="H55" s="53" t="n">
        <v>715000</v>
      </c>
    </row>
    <row r="56">
      <c r="C56" s="50" t="inlineStr">
        <is>
          <t>Insurance</t>
        </is>
      </c>
      <c r="D56" s="51" t="n">
        <v>5000</v>
      </c>
      <c r="E56" s="51" t="n">
        <v>7000</v>
      </c>
      <c r="F56" s="51" t="n">
        <v>10000</v>
      </c>
      <c r="G56" s="51" t="n">
        <v>13000</v>
      </c>
      <c r="H56" s="51" t="n">
        <v>17000</v>
      </c>
    </row>
    <row r="57">
      <c r="C57" s="48" t="inlineStr">
        <is>
          <t>Total Fixed Costs</t>
        </is>
      </c>
      <c r="D57" s="56" t="n">
        <v>176250</v>
      </c>
      <c r="E57" s="56" t="n">
        <v>253250</v>
      </c>
      <c r="F57" s="56" t="n">
        <v>395000</v>
      </c>
      <c r="G57" s="56" t="n">
        <v>541000</v>
      </c>
      <c r="H57" s="56" t="n">
        <v>732000</v>
      </c>
    </row>
    <row r="58">
      <c r="C58" s="48" t="inlineStr">
        <is>
          <t>EBITDA</t>
        </is>
      </c>
      <c r="D58" s="56" t="n">
        <v>82250</v>
      </c>
      <c r="E58" s="56" t="n">
        <v>76750</v>
      </c>
      <c r="F58" s="56" t="n">
        <v>98900</v>
      </c>
      <c r="G58" s="56" t="n">
        <v>167500</v>
      </c>
      <c r="H58" s="56" t="n">
        <v>226400</v>
      </c>
    </row>
    <row r="59">
      <c r="C59" s="57" t="inlineStr">
        <is>
          <t>EBITDA Margin %</t>
        </is>
      </c>
      <c r="D59" s="58" t="n">
        <v>0.180968096809681</v>
      </c>
      <c r="E59" s="58" t="n">
        <v>0.1068941504178273</v>
      </c>
      <c r="F59" s="58" t="n">
        <v>0.09132040627885503</v>
      </c>
      <c r="G59" s="58" t="n">
        <v>0.1111479761114798</v>
      </c>
      <c r="H59" s="58" t="n">
        <v>0.1150698856416772</v>
      </c>
    </row>
    <row r="60">
      <c r="C60" s="50" t="inlineStr">
        <is>
          <t>Interest Expense</t>
        </is>
      </c>
      <c r="D60" s="51" t="n">
        <v>16000</v>
      </c>
      <c r="E60" s="51" t="n">
        <v>13000</v>
      </c>
      <c r="F60" s="51" t="n">
        <v>10000</v>
      </c>
      <c r="G60" s="51" t="n">
        <v>7000</v>
      </c>
      <c r="H60" s="51" t="n">
        <v>4000</v>
      </c>
    </row>
    <row r="61">
      <c r="C61" s="48" t="inlineStr">
        <is>
          <t>NET INCOME</t>
        </is>
      </c>
      <c r="D61" s="56" t="n">
        <v>66250</v>
      </c>
      <c r="E61" s="56" t="n">
        <v>63750</v>
      </c>
      <c r="F61" s="56" t="n">
        <v>88900</v>
      </c>
      <c r="G61" s="56" t="n">
        <v>160500</v>
      </c>
      <c r="H61" s="56" t="n">
        <v>222400</v>
      </c>
    </row>
    <row r="62">
      <c r="C62" s="57" t="inlineStr">
        <is>
          <t>Net Income Margin %</t>
        </is>
      </c>
      <c r="D62" s="58" t="n">
        <v>0.1457645764576458</v>
      </c>
      <c r="E62" s="58" t="n">
        <v>0.0887883008356546</v>
      </c>
      <c r="F62" s="58" t="n">
        <v>0.08208679593721145</v>
      </c>
      <c r="G62" s="58" t="n">
        <v>0.1065029860650299</v>
      </c>
      <c r="H62" s="58" t="n">
        <v>0.1130368487928844</v>
      </c>
    </row>
    <row r="63">
      <c r="C63" s="50" t="inlineStr">
        <is>
          <t>Loan Principal Repayment</t>
        </is>
      </c>
      <c r="D63" s="51" t="n">
        <v>34000</v>
      </c>
      <c r="E63" s="51" t="n">
        <v>37000</v>
      </c>
      <c r="F63" s="51" t="n">
        <v>40000</v>
      </c>
      <c r="G63" s="51" t="n">
        <v>43000</v>
      </c>
      <c r="H63" s="51" t="n">
        <v>46000</v>
      </c>
    </row>
    <row r="64">
      <c r="C64" s="48" t="inlineStr">
        <is>
          <t>FREE CASH FLOW AFTER DEBT SERVICE</t>
        </is>
      </c>
      <c r="D64" s="56" t="n">
        <v>32250</v>
      </c>
      <c r="E64" s="56" t="n">
        <v>26750</v>
      </c>
      <c r="F64" s="56" t="n">
        <v>48900</v>
      </c>
      <c r="G64" s="56" t="n">
        <v>117500</v>
      </c>
      <c r="H64" s="56" t="n">
        <v>176400</v>
      </c>
    </row>
    <row r="65">
      <c r="C65" s="57" t="inlineStr">
        <is>
          <t>Free Cash Flow Margin %</t>
        </is>
      </c>
      <c r="D65" s="58" t="n">
        <v>0.07095709570957096</v>
      </c>
      <c r="E65" s="58" t="n">
        <v>0.03725626740947075</v>
      </c>
      <c r="F65" s="58" t="n">
        <v>0.04515235457063712</v>
      </c>
      <c r="G65" s="58" t="n">
        <v>0.07796947577969476</v>
      </c>
      <c r="H65" s="58" t="n">
        <v>0.0896569250317662</v>
      </c>
    </row>
  </sheetData>
  <mergeCells count="1">
    <mergeCell ref="C1:H1"/>
  </mergeCells>
  <pageMargins left="0.4" right="0.4" top="0.4" bottom="0.4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1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5390625" defaultRowHeight="15" customHeight="0" zeroHeight="0" outlineLevelRow="0"/>
  <cols>
    <col width="3" customWidth="1" style="59" min="1" max="2"/>
    <col width="3" customWidth="1" style="42" min="2" max="2"/>
    <col width="54" customWidth="1" style="60" min="3" max="3"/>
    <col width="18" customWidth="1" style="61" min="4" max="4"/>
    <col width="14" customWidth="1" style="61" min="5" max="5"/>
    <col width="20.23" customWidth="1" style="59" min="7" max="7"/>
    <col width="18.37" customWidth="1" style="59" min="8" max="8"/>
  </cols>
  <sheetData>
    <row r="1" ht="26" customHeight="1" s="42">
      <c r="A1" s="62" t="n"/>
      <c r="B1" s="62" t="n"/>
      <c r="C1" s="63" t="inlineStr">
        <is>
          <t>PROFIT &amp; LOSS</t>
        </is>
      </c>
      <c r="D1" s="85" t="n"/>
      <c r="E1" s="86" t="n"/>
    </row>
    <row r="2" ht="16.5" customHeight="1" s="42">
      <c r="A2" s="62" t="n"/>
      <c r="B2" s="62" t="n"/>
      <c r="C2" s="45" t="inlineStr">
        <is>
          <t>DATE</t>
        </is>
      </c>
      <c r="D2" s="64" t="inlineStr">
        <is>
          <t>June 2026 - May 2027</t>
        </is>
      </c>
      <c r="E2" s="64" t="n"/>
    </row>
    <row r="3" ht="16.5" customHeight="1" s="42">
      <c r="A3" s="62" t="n"/>
      <c r="B3" s="62" t="n"/>
      <c r="C3" s="48" t="inlineStr">
        <is>
          <t>REVENUE</t>
        </is>
      </c>
      <c r="D3" s="49" t="n"/>
      <c r="E3" s="49" t="n"/>
    </row>
    <row r="4" ht="15.75" customHeight="1" s="42">
      <c r="A4" s="62" t="n"/>
      <c r="B4" s="62" t="n"/>
      <c r="C4" s="50" t="inlineStr">
        <is>
          <t>Dashboard Subscription</t>
        </is>
      </c>
      <c r="D4" s="51" t="n">
        <v>250000</v>
      </c>
      <c r="E4" s="65">
        <f>D4/D8</f>
        <v/>
      </c>
    </row>
    <row r="5" ht="15" customHeight="1" s="42">
      <c r="A5" s="62" t="n"/>
      <c r="B5" s="62" t="n"/>
      <c r="C5" s="50" t="inlineStr">
        <is>
          <t>LMS Subscription</t>
        </is>
      </c>
      <c r="D5" s="51" t="n">
        <v>127000</v>
      </c>
      <c r="E5" s="65">
        <f>D5/D8</f>
        <v/>
      </c>
    </row>
    <row r="6" ht="15" customHeight="1" s="42">
      <c r="A6" s="62" t="n"/>
      <c r="B6" s="62" t="n"/>
      <c r="C6" s="50" t="inlineStr">
        <is>
          <t>Onboarding Fees</t>
        </is>
      </c>
      <c r="D6" s="51" t="n">
        <v>72500</v>
      </c>
      <c r="E6" s="65">
        <f>D6/D8</f>
        <v/>
      </c>
    </row>
    <row r="7" ht="15" customHeight="1" s="42">
      <c r="A7" s="62" t="n"/>
      <c r="B7" s="62" t="n"/>
      <c r="C7" s="50" t="inlineStr">
        <is>
          <t>Professional Services</t>
        </is>
      </c>
      <c r="D7" s="51" t="n">
        <v>15000</v>
      </c>
      <c r="E7" s="65">
        <f>D7/D8</f>
        <v/>
      </c>
    </row>
    <row r="8" ht="15" customHeight="1" s="42">
      <c r="A8" s="62" t="n"/>
      <c r="B8" s="62" t="n"/>
      <c r="C8" s="52" t="inlineStr">
        <is>
          <t>Gross Revenue</t>
        </is>
      </c>
      <c r="D8" s="53">
        <f>SUM(D4:D7)</f>
        <v/>
      </c>
      <c r="E8" s="66" t="inlineStr">
        <is>
          <t>Sales Mix</t>
        </is>
      </c>
    </row>
    <row r="9" ht="15" customHeight="1" s="42">
      <c r="A9" s="62" t="n"/>
      <c r="B9" s="62" t="n"/>
      <c r="C9" s="54" t="inlineStr">
        <is>
          <t>Less: Discounts &amp; Allowances</t>
        </is>
      </c>
      <c r="D9" s="67" t="n"/>
      <c r="E9" s="68" t="n"/>
    </row>
    <row r="10" ht="15" customHeight="1" s="42">
      <c r="A10" s="62" t="n"/>
      <c r="B10" s="62" t="n"/>
      <c r="C10" s="50" t="inlineStr">
        <is>
          <t>Pilot Promotional Discounts</t>
        </is>
      </c>
      <c r="D10" s="51" t="n">
        <v>4000</v>
      </c>
      <c r="E10" s="69" t="n"/>
    </row>
    <row r="11" ht="15.75" customHeight="1" s="42">
      <c r="A11" s="62" t="n"/>
      <c r="B11" s="62" t="n"/>
      <c r="C11" s="50" t="inlineStr">
        <is>
          <t>Partner Referral Credits</t>
        </is>
      </c>
      <c r="D11" s="51" t="n">
        <v>3000</v>
      </c>
      <c r="E11" s="70" t="n"/>
    </row>
    <row r="12" ht="15.75" customHeight="1" s="42">
      <c r="A12" s="62" t="n"/>
      <c r="B12" s="62" t="n"/>
      <c r="C12" s="50" t="inlineStr">
        <is>
          <t>Early Adopter Credits</t>
        </is>
      </c>
      <c r="D12" s="51" t="n">
        <v>2000</v>
      </c>
      <c r="E12" s="70" t="n"/>
    </row>
    <row r="13" ht="15" customHeight="1" s="42">
      <c r="A13" s="62" t="n"/>
      <c r="B13" s="62" t="n"/>
      <c r="C13" s="50" t="inlineStr">
        <is>
          <t>Refunds &amp; Credits</t>
        </is>
      </c>
      <c r="D13" s="51" t="n">
        <v>1000</v>
      </c>
      <c r="E13" s="70" t="n"/>
    </row>
    <row r="14" ht="15" customHeight="1" s="42">
      <c r="A14" s="62" t="n"/>
      <c r="B14" s="62" t="n"/>
      <c r="C14" s="52" t="inlineStr">
        <is>
          <t>Total Discounts &amp; Allowances</t>
        </is>
      </c>
      <c r="D14" s="53">
        <f>SUM(D10:D13)</f>
        <v/>
      </c>
      <c r="E14" s="71">
        <f>D14/D8</f>
        <v/>
      </c>
    </row>
    <row r="15" ht="15" customHeight="1" s="42">
      <c r="A15" s="62" t="n"/>
      <c r="B15" s="62" t="n"/>
      <c r="C15" s="48" t="inlineStr">
        <is>
          <t>NET REVENUE</t>
        </is>
      </c>
      <c r="D15" s="56">
        <f>D8-D14</f>
        <v/>
      </c>
      <c r="E15" s="72" t="n"/>
    </row>
    <row r="16" ht="15.75" customHeight="1" s="42">
      <c r="A16" s="62" t="n"/>
      <c r="B16" s="62" t="n"/>
      <c r="C16" s="48" t="inlineStr">
        <is>
          <t>COST OF REVENUE</t>
        </is>
      </c>
      <c r="D16" s="73" t="n"/>
      <c r="E16" s="49" t="inlineStr">
        <is>
          <t>% of Net Revenue</t>
        </is>
      </c>
    </row>
    <row r="17" ht="16.5" customHeight="1" s="42">
      <c r="A17" s="62" t="n"/>
      <c r="B17" s="62" t="n"/>
      <c r="C17" s="50" t="inlineStr">
        <is>
          <t>Cloud Hosting &amp; Infrastructure</t>
        </is>
      </c>
      <c r="D17" s="51" t="n">
        <v>18000</v>
      </c>
      <c r="E17" s="65">
        <f>D17/D15</f>
        <v/>
      </c>
    </row>
    <row r="18" ht="15" customHeight="1" s="42">
      <c r="A18" s="62" t="n"/>
      <c r="B18" s="62" t="n"/>
      <c r="C18" s="50" t="inlineStr">
        <is>
          <t>Third-Party API Fees (POS / Labor / Reservation)</t>
        </is>
      </c>
      <c r="D18" s="51" t="n">
        <v>21000</v>
      </c>
      <c r="E18" s="65">
        <f>D18/D15</f>
        <v/>
      </c>
    </row>
    <row r="19" ht="15" customHeight="1" s="42">
      <c r="A19" s="62" t="n"/>
      <c r="B19" s="62" t="n"/>
      <c r="C19" s="50" t="inlineStr">
        <is>
          <t>Payment Processing</t>
        </is>
      </c>
      <c r="D19" s="51" t="n">
        <v>13500</v>
      </c>
      <c r="E19" s="65">
        <f>D19/D15</f>
        <v/>
      </c>
    </row>
    <row r="20" ht="15" customHeight="1" s="42">
      <c r="A20" s="62" t="n"/>
      <c r="B20" s="62" t="n"/>
      <c r="C20" s="50" t="inlineStr">
        <is>
          <t>Customer Support</t>
        </is>
      </c>
      <c r="D20" s="51" t="n">
        <v>24000</v>
      </c>
      <c r="E20" s="65">
        <f>D20/D15</f>
        <v/>
      </c>
    </row>
    <row r="21" ht="15" customHeight="1" s="42">
      <c r="A21" s="62" t="n"/>
      <c r="B21" s="62" t="n"/>
      <c r="C21" s="52" t="inlineStr">
        <is>
          <t>Total Cost of Revenue</t>
        </is>
      </c>
      <c r="D21" s="53">
        <f>SUM(D17:D20)</f>
        <v/>
      </c>
      <c r="E21" s="71">
        <f>D21/D15</f>
        <v/>
      </c>
    </row>
    <row r="22" ht="15" customHeight="1" s="42">
      <c r="A22" s="62" t="n"/>
      <c r="B22" s="62" t="n"/>
      <c r="C22" s="48" t="inlineStr">
        <is>
          <t>GROSS PROFIT</t>
        </is>
      </c>
      <c r="D22" s="56">
        <f>D15-D21</f>
        <v/>
      </c>
      <c r="E22" s="74" t="n"/>
    </row>
    <row r="23" ht="15" customHeight="1" s="42">
      <c r="A23" s="62" t="n"/>
      <c r="B23" s="62" t="n"/>
      <c r="C23" s="57" t="inlineStr">
        <is>
          <t>Gross Margin %</t>
        </is>
      </c>
      <c r="D23" s="58">
        <f>D22/D15</f>
        <v/>
      </c>
      <c r="E23" s="75" t="n"/>
    </row>
    <row r="24" ht="15" customHeight="1" s="42">
      <c r="A24" s="62" t="n"/>
      <c r="B24" s="62" t="n"/>
      <c r="C24" s="48" t="inlineStr">
        <is>
          <t>VARIABLE OPERATING EXPENSES</t>
        </is>
      </c>
      <c r="D24" s="73" t="n"/>
      <c r="E24" s="76" t="n"/>
    </row>
    <row r="25" ht="15.75" customHeight="1" s="42">
      <c r="A25" s="62" t="n"/>
      <c r="B25" s="62" t="n"/>
      <c r="C25" s="54" t="inlineStr">
        <is>
          <t>Sales &amp; Marketing</t>
        </is>
      </c>
      <c r="D25" s="67" t="n"/>
      <c r="E25" s="77" t="n"/>
    </row>
    <row r="26" ht="15.75" customHeight="1" s="42">
      <c r="A26" s="62" t="n"/>
      <c r="B26" s="62" t="n"/>
      <c r="C26" s="50" t="inlineStr">
        <is>
          <t>Advertising - Physical</t>
        </is>
      </c>
      <c r="D26" s="51" t="n">
        <v>15000</v>
      </c>
      <c r="E26" s="65">
        <f>D26/D15</f>
        <v/>
      </c>
    </row>
    <row r="27" ht="15" customHeight="1" s="42">
      <c r="A27" s="62" t="n"/>
      <c r="B27" s="62" t="n"/>
      <c r="C27" s="50" t="inlineStr">
        <is>
          <t>Advertising - Digital</t>
        </is>
      </c>
      <c r="D27" s="51" t="n">
        <v>25000</v>
      </c>
      <c r="E27" s="65">
        <f>D27/D15</f>
        <v/>
      </c>
    </row>
    <row r="28" ht="15" customHeight="1" s="42">
      <c r="A28" s="62" t="n"/>
      <c r="B28" s="62" t="n"/>
      <c r="C28" s="50" t="inlineStr">
        <is>
          <t>Sales Commissions ($100 per new paid customer)</t>
        </is>
      </c>
      <c r="D28" s="51" t="n">
        <v>14500</v>
      </c>
      <c r="E28" s="65">
        <f>D28/D15</f>
        <v/>
      </c>
    </row>
    <row r="29" ht="15" customHeight="1" s="42">
      <c r="A29" s="62" t="n"/>
      <c r="B29" s="62" t="n"/>
      <c r="C29" s="52" t="inlineStr">
        <is>
          <t>Total Sales &amp; Marketing</t>
        </is>
      </c>
      <c r="D29" s="53">
        <f>SUM(D26:D28)</f>
        <v/>
      </c>
      <c r="E29" s="71">
        <f>D29/D15</f>
        <v/>
      </c>
    </row>
    <row r="30" ht="15" customHeight="1" s="42">
      <c r="A30" s="62" t="n"/>
      <c r="B30" s="62" t="n"/>
      <c r="C30" s="54" t="inlineStr">
        <is>
          <t>Research &amp; Development</t>
        </is>
      </c>
      <c r="D30" s="77" t="n"/>
      <c r="E30" s="68" t="n"/>
    </row>
    <row r="31" ht="15" customHeight="1" s="42">
      <c r="A31" s="62" t="n"/>
      <c r="B31" s="62" t="n"/>
      <c r="C31" s="50" t="inlineStr">
        <is>
          <t>Technology (Dev Tools)</t>
        </is>
      </c>
      <c r="D31" s="51" t="n">
        <v>10000</v>
      </c>
      <c r="E31" s="65">
        <f>D31/D15</f>
        <v/>
      </c>
    </row>
    <row r="32" ht="15" customHeight="1" s="42">
      <c r="A32" s="62" t="n"/>
      <c r="B32" s="62" t="n"/>
      <c r="C32" s="50" t="inlineStr">
        <is>
          <t>Software Licenses</t>
        </is>
      </c>
      <c r="D32" s="51" t="n">
        <v>5000</v>
      </c>
      <c r="E32" s="65">
        <f>D32/D15</f>
        <v/>
      </c>
    </row>
    <row r="33" ht="15.75" customHeight="1" s="42">
      <c r="A33" s="62" t="n"/>
      <c r="B33" s="62" t="n"/>
      <c r="C33" s="52" t="inlineStr">
        <is>
          <t>Total Research &amp; Development</t>
        </is>
      </c>
      <c r="D33" s="53">
        <f>SUM(D31:D32)</f>
        <v/>
      </c>
      <c r="E33" s="71">
        <f>D33/D15</f>
        <v/>
      </c>
    </row>
    <row r="34" ht="15.75" customHeight="1" s="42">
      <c r="A34" s="62" t="n"/>
      <c r="B34" s="62" t="n"/>
      <c r="C34" s="54" t="inlineStr">
        <is>
          <t>General &amp; Administrative</t>
        </is>
      </c>
      <c r="D34" s="67" t="n"/>
      <c r="E34" s="77" t="n"/>
    </row>
    <row r="35" ht="15.75" customHeight="1" s="42">
      <c r="A35" s="62" t="n"/>
      <c r="B35" s="62" t="n"/>
      <c r="C35" s="50" t="inlineStr">
        <is>
          <t>Office Supplies</t>
        </is>
      </c>
      <c r="D35" s="51" t="n">
        <v>2500</v>
      </c>
      <c r="E35" s="65">
        <f>D35/D15</f>
        <v/>
      </c>
    </row>
    <row r="36" ht="15" customHeight="1" s="42">
      <c r="A36" s="62" t="n"/>
      <c r="B36" s="62" t="n"/>
      <c r="C36" s="50" t="inlineStr">
        <is>
          <t>Equipment</t>
        </is>
      </c>
      <c r="D36" s="51" t="n">
        <v>2000</v>
      </c>
      <c r="E36" s="65">
        <f>D36/D15</f>
        <v/>
      </c>
    </row>
    <row r="37" ht="15" customHeight="1" s="42">
      <c r="A37" s="62" t="n"/>
      <c r="B37" s="62" t="n"/>
      <c r="C37" s="50" t="inlineStr">
        <is>
          <t>IT Support &amp; Maintenance</t>
        </is>
      </c>
      <c r="D37" s="51" t="n">
        <v>2000</v>
      </c>
      <c r="E37" s="65">
        <f>D37/D15</f>
        <v/>
      </c>
    </row>
    <row r="38" ht="15" customHeight="1" s="42">
      <c r="A38" s="62" t="n"/>
      <c r="B38" s="62" t="n"/>
      <c r="C38" s="50" t="inlineStr">
        <is>
          <t>Third-Party Services (CRM, Ticketing, Analytics)</t>
        </is>
      </c>
      <c r="D38" s="51" t="n">
        <v>8000</v>
      </c>
      <c r="E38" s="65">
        <f>D38/D15</f>
        <v/>
      </c>
    </row>
    <row r="39" ht="15" customHeight="1" s="42">
      <c r="A39" s="62" t="n"/>
      <c r="B39" s="62" t="n"/>
      <c r="C39" s="50" t="inlineStr">
        <is>
          <t>HR &amp; Recruiting</t>
        </is>
      </c>
      <c r="D39" s="51" t="n">
        <v>2500</v>
      </c>
      <c r="E39" s="65">
        <f>D39/D15</f>
        <v/>
      </c>
    </row>
    <row r="40" ht="15.75" customHeight="1" s="42">
      <c r="A40" s="62" t="n"/>
      <c r="B40" s="62" t="n"/>
      <c r="C40" s="50" t="inlineStr">
        <is>
          <t>Professional Fees</t>
        </is>
      </c>
      <c r="D40" s="51" t="n">
        <v>18000</v>
      </c>
      <c r="E40" s="65">
        <f>D40/D15</f>
        <v/>
      </c>
    </row>
    <row r="41" ht="15.75" customHeight="1" s="42">
      <c r="A41" s="62" t="n"/>
      <c r="B41" s="62" t="n"/>
      <c r="C41" s="50" t="inlineStr">
        <is>
          <t>Travel</t>
        </is>
      </c>
      <c r="D41" s="51" t="n">
        <v>12000</v>
      </c>
      <c r="E41" s="65">
        <f>D41/D15</f>
        <v/>
      </c>
    </row>
    <row r="42" ht="15.75" customHeight="1" s="42">
      <c r="A42" s="62" t="n"/>
      <c r="B42" s="62" t="n"/>
      <c r="C42" s="50" t="inlineStr">
        <is>
          <t>Training &amp; Development</t>
        </is>
      </c>
      <c r="D42" s="51" t="n">
        <v>3000</v>
      </c>
      <c r="E42" s="65">
        <f>D42/D15</f>
        <v/>
      </c>
    </row>
    <row r="43" ht="15" customHeight="1" s="42">
      <c r="A43" s="62" t="n"/>
      <c r="B43" s="62" t="n"/>
      <c r="C43" s="52" t="inlineStr">
        <is>
          <t>Total General &amp; Administrative</t>
        </is>
      </c>
      <c r="D43" s="53">
        <f>SUM(D35:D42)</f>
        <v/>
      </c>
      <c r="E43" s="71">
        <f>D43/D15</f>
        <v/>
      </c>
    </row>
    <row r="44" ht="15" customHeight="1" s="42">
      <c r="A44" s="62" t="n"/>
      <c r="B44" s="62" t="n"/>
      <c r="C44" s="48" t="inlineStr">
        <is>
          <t>TOTAL VARIABLE OPERATING EXPENSES</t>
        </is>
      </c>
      <c r="D44" s="56">
        <f>D29+D33+D43</f>
        <v/>
      </c>
      <c r="E44" s="78">
        <f>D44/D15</f>
        <v/>
      </c>
    </row>
    <row r="45" ht="15" customHeight="1" s="42">
      <c r="A45" s="62" t="n"/>
      <c r="B45" s="62" t="n"/>
      <c r="C45" s="48" t="inlineStr">
        <is>
          <t>INCOME BEFORE FIXED COST</t>
        </is>
      </c>
      <c r="D45" s="56">
        <f>D22-D44</f>
        <v/>
      </c>
      <c r="E45" s="74" t="n"/>
    </row>
    <row r="46" ht="15" customHeight="1" s="42">
      <c r="A46" s="62" t="n"/>
      <c r="B46" s="62" t="n"/>
      <c r="C46" s="57" t="inlineStr">
        <is>
          <t>Income Before Fixed Cost Margin %</t>
        </is>
      </c>
      <c r="D46" s="58">
        <f>D45/D15</f>
        <v/>
      </c>
      <c r="E46" s="79" t="n"/>
    </row>
    <row r="47" ht="15" customHeight="1" s="42">
      <c r="A47" s="62" t="n"/>
      <c r="B47" s="62" t="n"/>
      <c r="C47" s="48" t="inlineStr">
        <is>
          <t>FIXED COSTS</t>
        </is>
      </c>
      <c r="D47" s="73" t="n"/>
      <c r="E47" s="80" t="n"/>
    </row>
    <row r="48" ht="15" customHeight="1" s="42">
      <c r="A48" s="62" t="n"/>
      <c r="B48" s="62" t="n"/>
      <c r="C48" s="54" t="inlineStr">
        <is>
          <t>Salaries &amp; Benefits (Base)</t>
        </is>
      </c>
      <c r="D48" s="67" t="n"/>
      <c r="E48" s="68" t="n"/>
    </row>
    <row r="49" ht="15" customHeight="1" s="42">
      <c r="A49" s="62" t="n"/>
      <c r="B49" s="62" t="n"/>
      <c r="C49" s="50" t="inlineStr">
        <is>
          <t>Executive</t>
        </is>
      </c>
      <c r="D49" s="51" t="n">
        <v>140000</v>
      </c>
      <c r="E49" s="65">
        <f>D49/D15</f>
        <v/>
      </c>
    </row>
    <row r="50" ht="15" customHeight="1" s="42">
      <c r="A50" s="62" t="n"/>
      <c r="B50" s="62" t="n"/>
      <c r="C50" s="50" t="inlineStr">
        <is>
          <t>Sales</t>
        </is>
      </c>
      <c r="D50" s="51" t="n">
        <v>31250</v>
      </c>
      <c r="E50" s="65">
        <f>D50/D15</f>
        <v/>
      </c>
    </row>
    <row r="51" ht="15" customHeight="1" s="42">
      <c r="A51" s="62" t="n"/>
      <c r="B51" s="62" t="n"/>
      <c r="C51" s="52" t="inlineStr">
        <is>
          <t>Total Salaries &amp; Benefits</t>
        </is>
      </c>
      <c r="D51" s="53">
        <f>SUM(D49:D50)</f>
        <v/>
      </c>
      <c r="E51" s="71">
        <f>D51/D15</f>
        <v/>
      </c>
    </row>
    <row r="52" ht="15" customHeight="1" s="42">
      <c r="A52" s="62" t="n"/>
      <c r="B52" s="62" t="n"/>
      <c r="C52" s="50" t="inlineStr">
        <is>
          <t>Insurance</t>
        </is>
      </c>
      <c r="D52" s="51" t="n">
        <v>5000</v>
      </c>
      <c r="E52" s="65">
        <f>D52/D15</f>
        <v/>
      </c>
    </row>
    <row r="53" ht="15" customHeight="1" s="42">
      <c r="A53" s="62" t="n"/>
      <c r="B53" s="62" t="n"/>
      <c r="C53" s="48" t="inlineStr">
        <is>
          <t>Total Fixed Costs</t>
        </is>
      </c>
      <c r="D53" s="56">
        <f>D51+D52</f>
        <v/>
      </c>
      <c r="E53" s="78">
        <f>D53/D15</f>
        <v/>
      </c>
    </row>
    <row r="54" ht="15" customHeight="1" s="42">
      <c r="A54" s="62" t="n"/>
      <c r="B54" s="62" t="n"/>
      <c r="C54" s="48" t="inlineStr">
        <is>
          <t>EBITDA</t>
        </is>
      </c>
      <c r="D54" s="56">
        <f>D45-D53</f>
        <v/>
      </c>
      <c r="E54" s="78" t="n"/>
    </row>
    <row r="55" ht="15" customHeight="1" s="42">
      <c r="A55" s="62" t="n"/>
      <c r="B55" s="62" t="n"/>
      <c r="C55" s="57" t="inlineStr">
        <is>
          <t>EBITDA Margin %</t>
        </is>
      </c>
      <c r="D55" s="58">
        <f>D54/D15</f>
        <v/>
      </c>
      <c r="E55" s="75" t="n"/>
    </row>
    <row r="56" ht="15" customHeight="1" s="42">
      <c r="A56" s="62" t="n"/>
      <c r="B56" s="62" t="n"/>
      <c r="C56" s="50" t="inlineStr">
        <is>
          <t>Interest Expense</t>
        </is>
      </c>
      <c r="D56" s="51" t="n">
        <v>16000</v>
      </c>
      <c r="E56" s="65">
        <f>D56/D15</f>
        <v/>
      </c>
    </row>
    <row r="57" ht="15" customHeight="1" s="42">
      <c r="A57" s="62" t="n"/>
      <c r="B57" s="62" t="n"/>
      <c r="C57" s="48" t="inlineStr">
        <is>
          <t>NET INCOME</t>
        </is>
      </c>
      <c r="D57" s="56">
        <f>D54-D56</f>
        <v/>
      </c>
      <c r="E57" s="78" t="n"/>
    </row>
    <row r="58" ht="15" customHeight="1" s="42">
      <c r="A58" s="62" t="n"/>
      <c r="B58" s="62" t="n"/>
      <c r="C58" s="57" t="inlineStr">
        <is>
          <t>Net Income Margin %</t>
        </is>
      </c>
      <c r="D58" s="58">
        <f>D57/D15</f>
        <v/>
      </c>
      <c r="E58" s="75" t="n"/>
    </row>
    <row r="59" ht="15" customHeight="1" s="42">
      <c r="A59" s="62" t="n"/>
      <c r="B59" s="62" t="n"/>
      <c r="C59" s="50" t="inlineStr">
        <is>
          <t>Loan Principal Repayment</t>
        </is>
      </c>
      <c r="D59" s="51" t="n">
        <v>34000</v>
      </c>
      <c r="E59" s="65">
        <f>D59/D15</f>
        <v/>
      </c>
    </row>
    <row r="60" ht="15" customHeight="1" s="42">
      <c r="A60" s="62" t="n"/>
      <c r="B60" s="62" t="n"/>
      <c r="C60" s="48" t="inlineStr">
        <is>
          <t>FREE CASH FLOW AFTER DEBT SERVICE</t>
        </is>
      </c>
      <c r="D60" s="56">
        <f>D57-D59</f>
        <v/>
      </c>
      <c r="E60" s="78" t="n"/>
    </row>
    <row r="61" ht="15" customHeight="1" s="42">
      <c r="A61" s="62" t="n"/>
      <c r="B61" s="62" t="n"/>
      <c r="C61" s="57" t="inlineStr">
        <is>
          <t>Free Cash Flow Margin %</t>
        </is>
      </c>
      <c r="D61" s="58">
        <f>D60/D15</f>
        <v/>
      </c>
      <c r="E61" s="81" t="n"/>
    </row>
    <row r="62" ht="15.75" customHeight="1" s="42">
      <c r="A62" s="62" t="n"/>
      <c r="B62" s="62" t="n"/>
      <c r="C62" s="62" t="n"/>
      <c r="D62" s="82" t="n"/>
      <c r="E62" s="62" t="n"/>
    </row>
    <row r="63" ht="15.75" customHeight="1" s="42">
      <c r="A63" s="62" t="n"/>
      <c r="B63" s="62" t="n"/>
      <c r="C63" s="62" t="n"/>
      <c r="D63" s="83" t="n"/>
      <c r="E63" s="84" t="n"/>
    </row>
    <row r="64" ht="15.75" customHeight="1" s="42">
      <c r="A64" s="62" t="n"/>
      <c r="B64" s="62" t="n"/>
      <c r="C64" s="62" t="n"/>
      <c r="D64" s="83" t="n"/>
      <c r="E64" s="84" t="n"/>
    </row>
    <row r="65" ht="15" customHeight="1" s="42">
      <c r="A65" s="62" t="n"/>
      <c r="B65" s="62" t="n"/>
      <c r="C65" s="62" t="n"/>
      <c r="D65" s="83" t="n"/>
      <c r="E65" s="84" t="n"/>
    </row>
    <row r="66" ht="15" customHeight="1" s="42">
      <c r="A66" s="62" t="n"/>
      <c r="B66" s="62" t="n"/>
      <c r="C66" s="62" t="n"/>
      <c r="D66" s="84" t="n"/>
      <c r="E66" s="62" t="n"/>
    </row>
    <row r="67" ht="15" customHeight="1" s="42">
      <c r="A67" s="62" t="n"/>
      <c r="B67" s="62" t="n"/>
      <c r="C67" s="62" t="n"/>
      <c r="D67" s="62" t="n"/>
      <c r="E67" s="62" t="n"/>
    </row>
    <row r="68" ht="15" customHeight="1" s="42">
      <c r="A68" s="62" t="n"/>
      <c r="B68" s="62" t="n"/>
      <c r="C68" s="62" t="n"/>
      <c r="D68" s="83" t="n"/>
      <c r="E68" s="62" t="n"/>
    </row>
    <row r="69" ht="15" customHeight="1" s="42">
      <c r="A69" s="62" t="n"/>
      <c r="B69" s="62" t="n"/>
      <c r="C69" s="62" t="n"/>
      <c r="D69" s="84" t="n"/>
      <c r="E69" s="62" t="n"/>
    </row>
    <row r="70" ht="15.75" customHeight="1" s="42">
      <c r="A70" s="62" t="n"/>
      <c r="B70" s="62" t="n"/>
      <c r="C70" s="62" t="n"/>
      <c r="D70" s="62" t="n"/>
      <c r="E70" s="62" t="n"/>
    </row>
    <row r="71" ht="15.75" customHeight="1" s="42">
      <c r="A71" s="62" t="n"/>
      <c r="B71" s="62" t="n"/>
      <c r="C71" s="62" t="n"/>
      <c r="D71" s="83" t="n"/>
      <c r="E71" s="84" t="n"/>
    </row>
    <row r="72" ht="15.75" customHeight="1" s="42">
      <c r="A72" s="62" t="n"/>
      <c r="B72" s="62" t="n"/>
      <c r="C72" s="62" t="n"/>
      <c r="D72" s="62" t="n"/>
      <c r="E72" s="62" t="n"/>
    </row>
    <row r="73" ht="15" customHeight="1" s="42">
      <c r="A73" s="62" t="n"/>
      <c r="B73" s="62" t="n"/>
      <c r="C73" s="62" t="n"/>
      <c r="D73" s="83" t="n"/>
      <c r="E73" s="62" t="n"/>
    </row>
    <row r="74" ht="15" customHeight="1" s="42">
      <c r="A74" s="62" t="n"/>
      <c r="B74" s="62" t="n"/>
      <c r="C74" s="62" t="n"/>
      <c r="D74" s="84" t="n"/>
      <c r="E74" s="62" t="n"/>
    </row>
    <row r="75" ht="15" customHeight="1" s="42">
      <c r="A75" s="62" t="n"/>
      <c r="B75" s="62" t="n"/>
      <c r="C75" s="62" t="n"/>
      <c r="D75" s="62" t="n"/>
      <c r="E75" s="62" t="n"/>
    </row>
    <row r="76" ht="15" customHeight="1" s="42">
      <c r="A76" s="62" t="n"/>
      <c r="B76" s="62" t="n"/>
      <c r="C76" s="62" t="n"/>
      <c r="D76" s="62" t="n"/>
      <c r="E76" s="62" t="n"/>
    </row>
    <row r="77" ht="15" customHeight="1" s="42">
      <c r="A77" s="62" t="n"/>
      <c r="B77" s="62" t="n"/>
      <c r="C77" s="62" t="n"/>
      <c r="D77" s="62" t="n"/>
      <c r="E77" s="62" t="n"/>
    </row>
    <row r="78" ht="15" customHeight="1" s="42">
      <c r="A78" s="62" t="n"/>
      <c r="B78" s="62" t="n"/>
      <c r="C78" s="62" t="n"/>
      <c r="D78" s="62" t="n"/>
      <c r="E78" s="62" t="n"/>
    </row>
    <row r="79" ht="15" customHeight="1" s="42">
      <c r="A79" s="62" t="n"/>
      <c r="B79" s="62" t="n"/>
      <c r="C79" s="62" t="n"/>
      <c r="D79" s="62" t="n"/>
      <c r="E79" s="62" t="n"/>
    </row>
    <row r="80" ht="15" customHeight="1" s="42">
      <c r="A80" s="62" t="n"/>
      <c r="B80" s="62" t="n"/>
      <c r="C80" s="62" t="n"/>
      <c r="D80" s="62" t="n"/>
      <c r="E80" s="62" t="n"/>
    </row>
    <row r="81" ht="15" customHeight="1" s="42">
      <c r="A81" s="62" t="n"/>
      <c r="B81" s="62" t="n"/>
      <c r="C81" s="62" t="n"/>
      <c r="D81" s="62" t="n"/>
      <c r="E81" s="62" t="n"/>
    </row>
    <row r="82" ht="15" customHeight="1" s="42">
      <c r="A82" s="62" t="n"/>
      <c r="B82" s="62" t="n"/>
      <c r="C82" s="62" t="n"/>
      <c r="D82" s="62" t="n"/>
      <c r="E82" s="62" t="n"/>
    </row>
    <row r="83" ht="15" customHeight="1" s="42">
      <c r="A83" s="62" t="n"/>
      <c r="B83" s="62" t="n"/>
      <c r="C83" s="62" t="n"/>
      <c r="D83" s="62" t="n"/>
      <c r="E83" s="62" t="n"/>
    </row>
    <row r="84" ht="15" customHeight="1" s="42">
      <c r="A84" s="62" t="n"/>
      <c r="B84" s="62" t="n"/>
      <c r="C84" s="62" t="n"/>
      <c r="D84" s="62" t="n"/>
      <c r="E84" s="62" t="n"/>
    </row>
    <row r="85" ht="15" customHeight="1" s="42">
      <c r="A85" s="62" t="n"/>
      <c r="B85" s="62" t="n"/>
      <c r="C85" s="62" t="n"/>
      <c r="D85" s="62" t="n"/>
      <c r="E85" s="62" t="n"/>
    </row>
    <row r="86" ht="15" customHeight="1" s="42">
      <c r="A86" s="62" t="n"/>
      <c r="B86" s="62" t="n"/>
      <c r="C86" s="62" t="n"/>
      <c r="D86" s="62" t="n"/>
      <c r="E86" s="62" t="n"/>
    </row>
    <row r="87" ht="15" customHeight="1" s="42">
      <c r="A87" s="62" t="n"/>
      <c r="B87" s="62" t="n"/>
      <c r="C87" s="62" t="n"/>
      <c r="D87" s="62" t="n"/>
      <c r="E87" s="62" t="n"/>
    </row>
    <row r="88" ht="15" customHeight="1" s="42">
      <c r="A88" s="62" t="n"/>
      <c r="B88" s="62" t="n"/>
      <c r="C88" s="62" t="n"/>
      <c r="D88" s="62" t="n"/>
      <c r="E88" s="62" t="n"/>
    </row>
    <row r="89" ht="15" customHeight="1" s="42">
      <c r="A89" s="62" t="n"/>
      <c r="B89" s="62" t="n"/>
      <c r="C89" s="62" t="n"/>
      <c r="D89" s="62" t="n"/>
      <c r="E89" s="62" t="n"/>
    </row>
    <row r="90" ht="15" customHeight="1" s="42">
      <c r="A90" s="62" t="n"/>
      <c r="B90" s="62" t="n"/>
      <c r="C90" s="62" t="n"/>
      <c r="D90" s="62" t="n"/>
      <c r="E90" s="62" t="n"/>
    </row>
    <row r="91" ht="15" customHeight="1" s="42">
      <c r="A91" s="62" t="n"/>
      <c r="B91" s="62" t="n"/>
      <c r="C91" s="62" t="n"/>
      <c r="D91" s="62" t="n"/>
      <c r="E91" s="62" t="n"/>
    </row>
    <row r="92" ht="15" customHeight="1" s="42">
      <c r="A92" s="62" t="n"/>
      <c r="B92" s="62" t="n"/>
      <c r="C92" s="62" t="n"/>
      <c r="D92" s="62" t="n"/>
      <c r="E92" s="62" t="n"/>
    </row>
    <row r="93" ht="15" customHeight="1" s="42">
      <c r="A93" s="62" t="n"/>
      <c r="B93" s="62" t="n"/>
      <c r="C93" s="62" t="n"/>
      <c r="D93" s="62" t="n"/>
      <c r="E93" s="62" t="n"/>
    </row>
    <row r="94" ht="15" customHeight="1" s="42">
      <c r="A94" s="62" t="n"/>
      <c r="B94" s="62" t="n"/>
      <c r="C94" s="62" t="n"/>
      <c r="D94" s="62" t="n"/>
      <c r="E94" s="62" t="n"/>
    </row>
    <row r="95" ht="15" customHeight="1" s="42">
      <c r="A95" s="62" t="n"/>
      <c r="B95" s="62" t="n"/>
      <c r="C95" s="62" t="n"/>
      <c r="D95" s="62" t="n"/>
      <c r="E95" s="62" t="n"/>
    </row>
    <row r="96" ht="15" customHeight="1" s="42">
      <c r="A96" s="62" t="n"/>
      <c r="B96" s="62" t="n"/>
      <c r="C96" s="62" t="n"/>
      <c r="D96" s="62" t="n"/>
      <c r="E96" s="62" t="n"/>
    </row>
    <row r="97" ht="15" customHeight="1" s="42">
      <c r="A97" s="62" t="n"/>
      <c r="B97" s="62" t="n"/>
      <c r="C97" s="62" t="n"/>
      <c r="D97" s="62" t="n"/>
      <c r="E97" s="62" t="n"/>
    </row>
    <row r="98" ht="15" customHeight="1" s="42">
      <c r="A98" s="62" t="n"/>
      <c r="B98" s="62" t="n"/>
      <c r="C98" s="62" t="n"/>
      <c r="D98" s="62" t="n"/>
      <c r="E98" s="62" t="n"/>
    </row>
    <row r="99" ht="15" customHeight="1" s="42">
      <c r="A99" s="62" t="n"/>
      <c r="B99" s="62" t="n"/>
      <c r="C99" s="62" t="n"/>
      <c r="D99" s="62" t="n"/>
      <c r="E99" s="62" t="n"/>
    </row>
    <row r="100" ht="15" customHeight="1" s="42">
      <c r="A100" s="62" t="n"/>
      <c r="B100" s="62" t="n"/>
      <c r="C100" s="62" t="n"/>
      <c r="D100" s="62" t="n"/>
      <c r="E100" s="62" t="n"/>
    </row>
  </sheetData>
  <mergeCells count="1">
    <mergeCell ref="C1:E1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E100"/>
  <sheetViews>
    <sheetView showFormulas="0" showGridLines="1" showRowColHeaders="1" showZeros="1" rightToLeft="0" tabSelected="0" showOutlineSymbols="1" defaultGridColor="1" view="normal" topLeftCell="A48" colorId="64" zoomScale="100" zoomScaleNormal="100" zoomScalePageLayoutView="100" workbookViewId="0">
      <selection pane="topLeft" activeCell="D35" activeCellId="0" sqref="D35"/>
    </sheetView>
  </sheetViews>
  <sheetFormatPr baseColWidth="8" defaultColWidth="8.75390625" defaultRowHeight="15" customHeight="0" zeroHeight="0" outlineLevelRow="0"/>
  <cols>
    <col width="3" customWidth="1" style="59" min="1" max="2"/>
    <col width="3" customWidth="1" style="42" min="2" max="2"/>
    <col width="54" customWidth="1" style="60" min="3" max="3"/>
    <col width="18" customWidth="1" style="60" min="4" max="4"/>
    <col width="14" customWidth="1" style="60" min="5" max="5"/>
  </cols>
  <sheetData>
    <row r="1" ht="26" customHeight="1" s="42">
      <c r="A1" s="62" t="n"/>
      <c r="B1" s="62" t="n"/>
      <c r="C1" s="63" t="inlineStr">
        <is>
          <t>PROFIT &amp; LOSS</t>
        </is>
      </c>
      <c r="D1" s="85" t="n"/>
      <c r="E1" s="86" t="n"/>
    </row>
    <row r="2" ht="16.5" customHeight="1" s="42">
      <c r="A2" s="62" t="n"/>
      <c r="B2" s="62" t="n"/>
      <c r="C2" s="45" t="inlineStr">
        <is>
          <t>DATE</t>
        </is>
      </c>
      <c r="D2" s="64" t="inlineStr">
        <is>
          <t>June 2027 - May 2028</t>
        </is>
      </c>
      <c r="E2" s="64" t="n"/>
    </row>
    <row r="3" ht="16.5" customHeight="1" s="42">
      <c r="A3" s="62" t="n"/>
      <c r="B3" s="62" t="n"/>
      <c r="C3" s="48" t="inlineStr">
        <is>
          <t>REVENUE</t>
        </is>
      </c>
      <c r="D3" s="49" t="n"/>
      <c r="E3" s="49" t="n"/>
    </row>
    <row r="4" ht="15.75" customHeight="1" s="42">
      <c r="A4" s="62" t="n"/>
      <c r="B4" s="62" t="n"/>
      <c r="C4" s="50" t="inlineStr">
        <is>
          <t>Dashboard Subscription</t>
        </is>
      </c>
      <c r="D4" s="51" t="n">
        <v>430000</v>
      </c>
      <c r="E4" s="65">
        <f>D4/D8</f>
        <v/>
      </c>
    </row>
    <row r="5" ht="15" customHeight="1" s="42">
      <c r="A5" s="62" t="n"/>
      <c r="B5" s="62" t="n"/>
      <c r="C5" s="50" t="inlineStr">
        <is>
          <t>LMS Subscription</t>
        </is>
      </c>
      <c r="D5" s="51" t="n">
        <v>220000</v>
      </c>
      <c r="E5" s="65">
        <f>D5/D8</f>
        <v/>
      </c>
    </row>
    <row r="6" ht="15" customHeight="1" s="42">
      <c r="A6" s="62" t="n"/>
      <c r="B6" s="62" t="n"/>
      <c r="C6" s="50" t="inlineStr">
        <is>
          <t>Onboarding Fees</t>
        </is>
      </c>
      <c r="D6" s="51" t="n">
        <v>63000</v>
      </c>
      <c r="E6" s="65">
        <f>D6/D8</f>
        <v/>
      </c>
    </row>
    <row r="7" ht="15" customHeight="1" s="42">
      <c r="A7" s="62" t="n"/>
      <c r="B7" s="62" t="n"/>
      <c r="C7" s="50" t="inlineStr">
        <is>
          <t>Professional Services</t>
        </is>
      </c>
      <c r="D7" s="51" t="n">
        <v>22000</v>
      </c>
      <c r="E7" s="65">
        <f>D7/D8</f>
        <v/>
      </c>
    </row>
    <row r="8" ht="15" customHeight="1" s="42">
      <c r="A8" s="62" t="n"/>
      <c r="B8" s="62" t="n"/>
      <c r="C8" s="52" t="inlineStr">
        <is>
          <t>Gross Revenue</t>
        </is>
      </c>
      <c r="D8" s="53">
        <f>SUM(D4:D7)</f>
        <v/>
      </c>
      <c r="E8" s="66" t="inlineStr">
        <is>
          <t>Sales Mix</t>
        </is>
      </c>
    </row>
    <row r="9" ht="15" customHeight="1" s="42">
      <c r="A9" s="62" t="n"/>
      <c r="B9" s="62" t="n"/>
      <c r="C9" s="54" t="inlineStr">
        <is>
          <t>Less: Discounts &amp; Allowances</t>
        </is>
      </c>
      <c r="D9" s="67" t="n"/>
      <c r="E9" s="68" t="n"/>
    </row>
    <row r="10" ht="15" customHeight="1" s="42">
      <c r="A10" s="62" t="n"/>
      <c r="B10" s="62" t="n"/>
      <c r="C10" s="50" t="inlineStr">
        <is>
          <t>Pilot Promotional Discounts</t>
        </is>
      </c>
      <c r="D10" s="51" t="n">
        <v>3000</v>
      </c>
      <c r="E10" s="69" t="n"/>
    </row>
    <row r="11" ht="15.75" customHeight="1" s="42">
      <c r="A11" s="62" t="n"/>
      <c r="B11" s="62" t="n"/>
      <c r="C11" s="50" t="inlineStr">
        <is>
          <t>Partner Referral Credits</t>
        </is>
      </c>
      <c r="D11" s="51" t="n">
        <v>7000</v>
      </c>
      <c r="E11" s="70" t="n"/>
    </row>
    <row r="12" ht="15.75" customHeight="1" s="42">
      <c r="A12" s="62" t="n"/>
      <c r="B12" s="62" t="n"/>
      <c r="C12" s="50" t="inlineStr">
        <is>
          <t>Early Adopter Credits</t>
        </is>
      </c>
      <c r="D12" s="51" t="n">
        <v>4000</v>
      </c>
      <c r="E12" s="70" t="n"/>
    </row>
    <row r="13" ht="15" customHeight="1" s="42">
      <c r="A13" s="62" t="n"/>
      <c r="B13" s="62" t="n"/>
      <c r="C13" s="50" t="inlineStr">
        <is>
          <t>Refunds &amp; Credits</t>
        </is>
      </c>
      <c r="D13" s="51" t="n">
        <v>3000</v>
      </c>
      <c r="E13" s="70" t="n"/>
    </row>
    <row r="14" ht="15" customHeight="1" s="42">
      <c r="A14" s="62" t="n"/>
      <c r="B14" s="62" t="n"/>
      <c r="C14" s="52" t="inlineStr">
        <is>
          <t>Total Discounts &amp; Allowances</t>
        </is>
      </c>
      <c r="D14" s="53">
        <f>SUM(D10:D13)</f>
        <v/>
      </c>
      <c r="E14" s="71">
        <f>D14/D8</f>
        <v/>
      </c>
    </row>
    <row r="15" ht="15" customHeight="1" s="42">
      <c r="A15" s="62" t="n"/>
      <c r="B15" s="62" t="n"/>
      <c r="C15" s="48" t="inlineStr">
        <is>
          <t>NET REVENUE</t>
        </is>
      </c>
      <c r="D15" s="56">
        <f>D8-D14</f>
        <v/>
      </c>
      <c r="E15" s="72" t="n"/>
    </row>
    <row r="16" ht="15.75" customHeight="1" s="42">
      <c r="A16" s="62" t="n"/>
      <c r="B16" s="62" t="n"/>
      <c r="C16" s="48" t="inlineStr">
        <is>
          <t>COST OF REVENUE</t>
        </is>
      </c>
      <c r="D16" s="73" t="n"/>
      <c r="E16" s="49" t="inlineStr">
        <is>
          <t>% of Net Revenue</t>
        </is>
      </c>
    </row>
    <row r="17" ht="16.5" customHeight="1" s="42">
      <c r="A17" s="62" t="n"/>
      <c r="B17" s="62" t="n"/>
      <c r="C17" s="50" t="inlineStr">
        <is>
          <t>Cloud Hosting &amp; Infrastructure</t>
        </is>
      </c>
      <c r="D17" s="51" t="n">
        <v>33000</v>
      </c>
      <c r="E17" s="65">
        <f>D17/D15</f>
        <v/>
      </c>
    </row>
    <row r="18" ht="15" customHeight="1" s="42">
      <c r="A18" s="62" t="n"/>
      <c r="B18" s="62" t="n"/>
      <c r="C18" s="50" t="inlineStr">
        <is>
          <t>Third-Party API Fees (POS / Labor / Reservation)</t>
        </is>
      </c>
      <c r="D18" s="51" t="n">
        <v>47000</v>
      </c>
      <c r="E18" s="65">
        <f>D18/D15</f>
        <v/>
      </c>
    </row>
    <row r="19" ht="15" customHeight="1" s="42">
      <c r="A19" s="62" t="n"/>
      <c r="B19" s="62" t="n"/>
      <c r="C19" s="50" t="inlineStr">
        <is>
          <t>Payment Processing</t>
        </is>
      </c>
      <c r="D19" s="51" t="n">
        <v>21000</v>
      </c>
      <c r="E19" s="65">
        <f>D19/D15</f>
        <v/>
      </c>
    </row>
    <row r="20" ht="15" customHeight="1" s="42">
      <c r="A20" s="62" t="n"/>
      <c r="B20" s="62" t="n"/>
      <c r="C20" s="50" t="inlineStr">
        <is>
          <t>Customer Support</t>
        </is>
      </c>
      <c r="D20" s="51" t="n">
        <v>44000</v>
      </c>
      <c r="E20" s="65">
        <f>D20/D15</f>
        <v/>
      </c>
    </row>
    <row r="21" ht="15" customHeight="1" s="42">
      <c r="A21" s="62" t="n"/>
      <c r="B21" s="62" t="n"/>
      <c r="C21" s="52" t="inlineStr">
        <is>
          <t>Total Cost of Revenue</t>
        </is>
      </c>
      <c r="D21" s="53">
        <f>SUM(D17:D20)</f>
        <v/>
      </c>
      <c r="E21" s="71">
        <f>D21/D15</f>
        <v/>
      </c>
    </row>
    <row r="22" ht="15" customHeight="1" s="42">
      <c r="A22" s="62" t="n"/>
      <c r="B22" s="62" t="n"/>
      <c r="C22" s="48" t="inlineStr">
        <is>
          <t>GROSS PROFIT</t>
        </is>
      </c>
      <c r="D22" s="56">
        <f>D15-D21</f>
        <v/>
      </c>
      <c r="E22" s="74" t="n"/>
    </row>
    <row r="23" ht="15" customHeight="1" s="42">
      <c r="A23" s="62" t="n"/>
      <c r="B23" s="62" t="n"/>
      <c r="C23" s="57" t="inlineStr">
        <is>
          <t>Gross Margin %</t>
        </is>
      </c>
      <c r="D23" s="58">
        <f>D22/D15</f>
        <v/>
      </c>
      <c r="E23" s="75" t="n"/>
    </row>
    <row r="24" ht="15" customHeight="1" s="42">
      <c r="A24" s="62" t="n"/>
      <c r="B24" s="62" t="n"/>
      <c r="C24" s="48" t="inlineStr">
        <is>
          <t>VARIABLE OPERATING EXPENSES</t>
        </is>
      </c>
      <c r="D24" s="73" t="n"/>
      <c r="E24" s="76" t="n"/>
    </row>
    <row r="25" ht="15.75" customHeight="1" s="42">
      <c r="A25" s="62" t="n"/>
      <c r="B25" s="62" t="n"/>
      <c r="C25" s="54" t="inlineStr">
        <is>
          <t>Sales &amp; Marketing</t>
        </is>
      </c>
      <c r="D25" s="67" t="n"/>
      <c r="E25" s="77" t="n"/>
    </row>
    <row r="26" ht="15.75" customHeight="1" s="42">
      <c r="A26" s="62" t="n"/>
      <c r="B26" s="62" t="n"/>
      <c r="C26" s="50" t="inlineStr">
        <is>
          <t>Advertising - Physical</t>
        </is>
      </c>
      <c r="D26" s="51" t="n">
        <v>35000</v>
      </c>
      <c r="E26" s="65">
        <f>D26/D15</f>
        <v/>
      </c>
    </row>
    <row r="27" ht="15" customHeight="1" s="42">
      <c r="A27" s="62" t="n"/>
      <c r="B27" s="62" t="n"/>
      <c r="C27" s="50" t="inlineStr">
        <is>
          <t>Advertising - Digital</t>
        </is>
      </c>
      <c r="D27" s="51" t="n">
        <v>95000</v>
      </c>
      <c r="E27" s="65">
        <f>D27/D15</f>
        <v/>
      </c>
    </row>
    <row r="28" ht="15" customHeight="1" s="42">
      <c r="A28" s="62" t="n"/>
      <c r="B28" s="62" t="n"/>
      <c r="C28" s="50" t="inlineStr">
        <is>
          <t>Sales Commissions ($100 per new paid customer)</t>
        </is>
      </c>
      <c r="D28" s="51" t="n">
        <v>12000</v>
      </c>
      <c r="E28" s="65">
        <f>D28/D15</f>
        <v/>
      </c>
    </row>
    <row r="29" ht="15" customHeight="1" s="42">
      <c r="A29" s="62" t="n"/>
      <c r="B29" s="62" t="n"/>
      <c r="C29" s="52" t="inlineStr">
        <is>
          <t>Total Sales &amp; Marketing</t>
        </is>
      </c>
      <c r="D29" s="53">
        <f>SUM(D26:D28)</f>
        <v/>
      </c>
      <c r="E29" s="71">
        <f>D29/D15</f>
        <v/>
      </c>
    </row>
    <row r="30" ht="15" customHeight="1" s="42">
      <c r="A30" s="62" t="n"/>
      <c r="B30" s="62" t="n"/>
      <c r="C30" s="54" t="inlineStr">
        <is>
          <t>Research &amp; Development</t>
        </is>
      </c>
      <c r="D30" s="77" t="n"/>
      <c r="E30" s="68" t="n"/>
    </row>
    <row r="31" ht="15" customHeight="1" s="42">
      <c r="A31" s="62" t="n"/>
      <c r="B31" s="62" t="n"/>
      <c r="C31" s="50" t="inlineStr">
        <is>
          <t>Technology (Dev Tools)</t>
        </is>
      </c>
      <c r="D31" s="51" t="n">
        <v>18000</v>
      </c>
      <c r="E31" s="65">
        <f>D31/D15</f>
        <v/>
      </c>
    </row>
    <row r="32" ht="15" customHeight="1" s="42">
      <c r="A32" s="62" t="n"/>
      <c r="B32" s="62" t="n"/>
      <c r="C32" s="50" t="inlineStr">
        <is>
          <t>Software Licenses</t>
        </is>
      </c>
      <c r="D32" s="51" t="n">
        <v>8000</v>
      </c>
      <c r="E32" s="65">
        <f>D32/D15</f>
        <v/>
      </c>
    </row>
    <row r="33" ht="15.75" customHeight="1" s="42">
      <c r="A33" s="62" t="n"/>
      <c r="B33" s="62" t="n"/>
      <c r="C33" s="52" t="inlineStr">
        <is>
          <t>Total Research &amp; Development</t>
        </is>
      </c>
      <c r="D33" s="53">
        <f>SUM(D31:D32)</f>
        <v/>
      </c>
      <c r="E33" s="71">
        <f>D33/D15</f>
        <v/>
      </c>
    </row>
    <row r="34" ht="15.75" customHeight="1" s="42">
      <c r="A34" s="62" t="n"/>
      <c r="B34" s="62" t="n"/>
      <c r="C34" s="54" t="inlineStr">
        <is>
          <t>General &amp; Administrative</t>
        </is>
      </c>
      <c r="D34" s="67" t="n"/>
      <c r="E34" s="77" t="n"/>
    </row>
    <row r="35" ht="15.75" customHeight="1" s="42">
      <c r="A35" s="62" t="n"/>
      <c r="B35" s="62" t="n"/>
      <c r="C35" s="50" t="inlineStr">
        <is>
          <t>Office Supplies</t>
        </is>
      </c>
      <c r="D35" s="51" t="n">
        <v>3000</v>
      </c>
      <c r="E35" s="65">
        <f>D35/D15</f>
        <v/>
      </c>
    </row>
    <row r="36" ht="15" customHeight="1" s="42">
      <c r="A36" s="62" t="n"/>
      <c r="B36" s="62" t="n"/>
      <c r="C36" s="50" t="inlineStr">
        <is>
          <t>Equipment</t>
        </is>
      </c>
      <c r="D36" s="51" t="n">
        <v>3000</v>
      </c>
      <c r="E36" s="65">
        <f>D36/D15</f>
        <v/>
      </c>
    </row>
    <row r="37" ht="15" customHeight="1" s="42">
      <c r="A37" s="62" t="n"/>
      <c r="B37" s="62" t="n"/>
      <c r="C37" s="50" t="inlineStr">
        <is>
          <t>IT Support &amp; Maintenance</t>
        </is>
      </c>
      <c r="D37" s="51" t="n">
        <v>3000</v>
      </c>
      <c r="E37" s="65">
        <f>D37/D15</f>
        <v/>
      </c>
    </row>
    <row r="38" ht="15" customHeight="1" s="42">
      <c r="A38" s="62" t="n"/>
      <c r="B38" s="62" t="n"/>
      <c r="C38" s="50" t="inlineStr">
        <is>
          <t>Third-Party Services (CRM, Ticketing, Analytics)</t>
        </is>
      </c>
      <c r="D38" s="51" t="n">
        <v>13000</v>
      </c>
      <c r="E38" s="65">
        <f>D38/D15</f>
        <v/>
      </c>
    </row>
    <row r="39" ht="15" customHeight="1" s="42">
      <c r="A39" s="62" t="n"/>
      <c r="B39" s="62" t="n"/>
      <c r="C39" s="50" t="inlineStr">
        <is>
          <t>HR &amp; Recruiting</t>
        </is>
      </c>
      <c r="D39" s="51" t="n">
        <v>3000</v>
      </c>
      <c r="E39" s="65">
        <f>D39/D15</f>
        <v/>
      </c>
    </row>
    <row r="40" ht="15.75" customHeight="1" s="42">
      <c r="A40" s="62" t="n"/>
      <c r="B40" s="62" t="n"/>
      <c r="C40" s="50" t="inlineStr">
        <is>
          <t>Professional Fees</t>
        </is>
      </c>
      <c r="D40" s="51" t="n">
        <v>25000</v>
      </c>
      <c r="E40" s="65">
        <f>D40/D15</f>
        <v/>
      </c>
    </row>
    <row r="41" ht="15.75" customHeight="1" s="42">
      <c r="A41" s="62" t="n"/>
      <c r="B41" s="62" t="n"/>
      <c r="C41" s="50" t="inlineStr">
        <is>
          <t>Travel</t>
        </is>
      </c>
      <c r="D41" s="51" t="n">
        <v>20000</v>
      </c>
      <c r="E41" s="65">
        <f>D41/D15</f>
        <v/>
      </c>
    </row>
    <row r="42" ht="15.75" customHeight="1" s="42">
      <c r="A42" s="62" t="n"/>
      <c r="B42" s="62" t="n"/>
      <c r="C42" s="50" t="inlineStr">
        <is>
          <t>Training &amp; Development</t>
        </is>
      </c>
      <c r="D42" s="51" t="n">
        <v>5000</v>
      </c>
      <c r="E42" s="65">
        <f>D42/D15</f>
        <v/>
      </c>
    </row>
    <row r="43" ht="15" customHeight="1" s="42">
      <c r="A43" s="62" t="n"/>
      <c r="B43" s="62" t="n"/>
      <c r="C43" s="52" t="inlineStr">
        <is>
          <t>Total General &amp; Administrative</t>
        </is>
      </c>
      <c r="D43" s="53">
        <f>SUM(D35:D42)</f>
        <v/>
      </c>
      <c r="E43" s="71">
        <f>D43/D15</f>
        <v/>
      </c>
    </row>
    <row r="44" ht="15" customHeight="1" s="42">
      <c r="A44" s="62" t="n"/>
      <c r="B44" s="62" t="n"/>
      <c r="C44" s="48" t="inlineStr">
        <is>
          <t>TOTAL VARIABLE OPERATING EXPENSES</t>
        </is>
      </c>
      <c r="D44" s="56">
        <f>D29+D33+D43</f>
        <v/>
      </c>
      <c r="E44" s="78">
        <f>D44/D15</f>
        <v/>
      </c>
    </row>
    <row r="45" ht="15" customHeight="1" s="42">
      <c r="A45" s="62" t="n"/>
      <c r="B45" s="62" t="n"/>
      <c r="C45" s="48" t="inlineStr">
        <is>
          <t>INCOME BEFORE FIXED COST</t>
        </is>
      </c>
      <c r="D45" s="56">
        <f>D22-D44</f>
        <v/>
      </c>
      <c r="E45" s="74" t="n"/>
    </row>
    <row r="46" ht="15" customHeight="1" s="42">
      <c r="A46" s="62" t="n"/>
      <c r="B46" s="62" t="n"/>
      <c r="C46" s="57" t="inlineStr">
        <is>
          <t>Income Before Fixed Cost Margin %</t>
        </is>
      </c>
      <c r="D46" s="58">
        <f>D45/D15</f>
        <v/>
      </c>
      <c r="E46" s="79" t="n"/>
    </row>
    <row r="47" ht="15" customHeight="1" s="42">
      <c r="A47" s="62" t="n"/>
      <c r="B47" s="62" t="n"/>
      <c r="C47" s="48" t="inlineStr">
        <is>
          <t>FIXED COSTS</t>
        </is>
      </c>
      <c r="D47" s="73" t="n"/>
      <c r="E47" s="80" t="n"/>
    </row>
    <row r="48" ht="15" customHeight="1" s="42">
      <c r="A48" s="62" t="n"/>
      <c r="B48" s="62" t="n"/>
      <c r="C48" s="54" t="inlineStr">
        <is>
          <t>Salaries &amp; Benefits (Base)</t>
        </is>
      </c>
      <c r="D48" s="67" t="n"/>
      <c r="E48" s="68" t="n"/>
    </row>
    <row r="49" ht="15" customHeight="1" s="42">
      <c r="A49" s="62" t="n"/>
      <c r="B49" s="62" t="n"/>
      <c r="C49" s="50" t="inlineStr">
        <is>
          <t>Executive</t>
        </is>
      </c>
      <c r="D49" s="51" t="n">
        <v>170000</v>
      </c>
      <c r="E49" s="65">
        <f>D49/D15</f>
        <v/>
      </c>
    </row>
    <row r="50" ht="15" customHeight="1" s="42">
      <c r="A50" s="62" t="n"/>
      <c r="B50" s="62" t="n"/>
      <c r="C50" s="50" t="inlineStr">
        <is>
          <t>Sales</t>
        </is>
      </c>
      <c r="D50" s="51" t="n">
        <v>31250</v>
      </c>
      <c r="E50" s="65">
        <f>D50/D15</f>
        <v/>
      </c>
    </row>
    <row r="51" ht="15" customHeight="1" s="42">
      <c r="A51" s="62" t="n"/>
      <c r="B51" s="62" t="n"/>
      <c r="C51" s="50" t="inlineStr">
        <is>
          <t>Customer Success</t>
        </is>
      </c>
      <c r="D51" s="51" t="n">
        <v>45000</v>
      </c>
      <c r="E51" s="65">
        <f>D51/D15</f>
        <v/>
      </c>
    </row>
    <row r="52" ht="15" customHeight="1" s="42">
      <c r="A52" s="62" t="n"/>
      <c r="B52" s="62" t="n"/>
      <c r="C52" s="52" t="inlineStr">
        <is>
          <t>Total Salaries &amp; Benefits</t>
        </is>
      </c>
      <c r="D52" s="53">
        <f>SUM(D49:D51)</f>
        <v/>
      </c>
      <c r="E52" s="71">
        <f>D52/D15</f>
        <v/>
      </c>
    </row>
    <row r="53" ht="15" customHeight="1" s="42">
      <c r="A53" s="62" t="n"/>
      <c r="B53" s="62" t="n"/>
      <c r="C53" s="50" t="inlineStr">
        <is>
          <t>Insurance</t>
        </is>
      </c>
      <c r="D53" s="51" t="n">
        <v>7000</v>
      </c>
      <c r="E53" s="65">
        <f>D53/D15</f>
        <v/>
      </c>
    </row>
    <row r="54" ht="15" customHeight="1" s="42">
      <c r="A54" s="62" t="n"/>
      <c r="B54" s="62" t="n"/>
      <c r="C54" s="48" t="inlineStr">
        <is>
          <t>Total Fixed Costs</t>
        </is>
      </c>
      <c r="D54" s="56">
        <f>D52+D53</f>
        <v/>
      </c>
      <c r="E54" s="78">
        <f>D54/D15</f>
        <v/>
      </c>
    </row>
    <row r="55" ht="15" customHeight="1" s="42">
      <c r="A55" s="62" t="n"/>
      <c r="B55" s="62" t="n"/>
      <c r="C55" s="48" t="inlineStr">
        <is>
          <t>EBITDA</t>
        </is>
      </c>
      <c r="D55" s="56">
        <f>D45-D54</f>
        <v/>
      </c>
      <c r="E55" s="78" t="n"/>
    </row>
    <row r="56" ht="15" customHeight="1" s="42">
      <c r="A56" s="62" t="n"/>
      <c r="B56" s="62" t="n"/>
      <c r="C56" s="57" t="inlineStr">
        <is>
          <t>EBITDA Margin %</t>
        </is>
      </c>
      <c r="D56" s="58">
        <f>D55/D15</f>
        <v/>
      </c>
      <c r="E56" s="75" t="n"/>
    </row>
    <row r="57" ht="15" customHeight="1" s="42">
      <c r="A57" s="62" t="n"/>
      <c r="B57" s="62" t="n"/>
      <c r="C57" s="50" t="inlineStr">
        <is>
          <t>Interest Expense</t>
        </is>
      </c>
      <c r="D57" s="51" t="n">
        <v>13000</v>
      </c>
      <c r="E57" s="65">
        <f>D57/D15</f>
        <v/>
      </c>
    </row>
    <row r="58" ht="15" customHeight="1" s="42">
      <c r="A58" s="62" t="n"/>
      <c r="B58" s="62" t="n"/>
      <c r="C58" s="48" t="inlineStr">
        <is>
          <t>NET INCOME</t>
        </is>
      </c>
      <c r="D58" s="56">
        <f>D55-D57</f>
        <v/>
      </c>
      <c r="E58" s="78" t="n"/>
    </row>
    <row r="59" ht="15" customHeight="1" s="42">
      <c r="A59" s="62" t="n"/>
      <c r="B59" s="62" t="n"/>
      <c r="C59" s="57" t="inlineStr">
        <is>
          <t>Net Income Margin %</t>
        </is>
      </c>
      <c r="D59" s="58">
        <f>D58/D15</f>
        <v/>
      </c>
      <c r="E59" s="75" t="n"/>
    </row>
    <row r="60" ht="15" customHeight="1" s="42">
      <c r="A60" s="62" t="n"/>
      <c r="B60" s="62" t="n"/>
      <c r="C60" s="50" t="inlineStr">
        <is>
          <t>Loan Principal Repayment</t>
        </is>
      </c>
      <c r="D60" s="51" t="n">
        <v>37000</v>
      </c>
      <c r="E60" s="65">
        <f>D60/D15</f>
        <v/>
      </c>
    </row>
    <row r="61" ht="15" customHeight="1" s="42">
      <c r="A61" s="62" t="n"/>
      <c r="B61" s="62" t="n"/>
      <c r="C61" s="48" t="inlineStr">
        <is>
          <t>FREE CASH FLOW AFTER DEBT SERVICE</t>
        </is>
      </c>
      <c r="D61" s="56">
        <f>D58-D60</f>
        <v/>
      </c>
      <c r="E61" s="78" t="n"/>
    </row>
    <row r="62" ht="15.75" customHeight="1" s="42">
      <c r="A62" s="62" t="n"/>
      <c r="B62" s="62" t="n"/>
      <c r="C62" s="57" t="inlineStr">
        <is>
          <t>Free Cash Flow Margin %</t>
        </is>
      </c>
      <c r="D62" s="58">
        <f>D61/D15</f>
        <v/>
      </c>
      <c r="E62" s="81" t="n"/>
    </row>
    <row r="63" ht="15.75" customHeight="1" s="42">
      <c r="A63" s="62" t="n"/>
      <c r="B63" s="62" t="n"/>
      <c r="C63" s="62" t="n"/>
      <c r="D63" s="82" t="n"/>
      <c r="E63" s="84" t="n"/>
    </row>
    <row r="64" ht="15.75" customHeight="1" s="42">
      <c r="A64" s="62" t="n"/>
      <c r="B64" s="62" t="n"/>
      <c r="C64" s="62" t="n"/>
      <c r="D64" s="83" t="n"/>
      <c r="E64" s="84" t="n"/>
    </row>
    <row r="65" ht="15" customHeight="1" s="42">
      <c r="A65" s="62" t="n"/>
      <c r="B65" s="62" t="n"/>
      <c r="C65" s="62" t="n"/>
      <c r="D65" s="83" t="n"/>
      <c r="E65" s="84" t="n"/>
    </row>
    <row r="66" ht="15" customHeight="1" s="42">
      <c r="A66" s="62" t="n"/>
      <c r="B66" s="62" t="n"/>
      <c r="C66" s="62" t="n"/>
      <c r="D66" s="84" t="n"/>
      <c r="E66" s="62" t="n"/>
    </row>
    <row r="67" ht="15" customHeight="1" s="42">
      <c r="A67" s="62" t="n"/>
      <c r="B67" s="62" t="n"/>
      <c r="C67" s="62" t="n"/>
      <c r="D67" s="62" t="n"/>
      <c r="E67" s="62" t="n"/>
    </row>
    <row r="68" ht="15" customHeight="1" s="42">
      <c r="A68" s="62" t="n"/>
      <c r="B68" s="62" t="n"/>
      <c r="C68" s="62" t="n"/>
      <c r="D68" s="83" t="n"/>
      <c r="E68" s="62" t="n"/>
    </row>
    <row r="69" ht="15" customHeight="1" s="42">
      <c r="A69" s="62" t="n"/>
      <c r="B69" s="62" t="n"/>
      <c r="C69" s="62" t="n"/>
      <c r="D69" s="84" t="n"/>
      <c r="E69" s="62" t="n"/>
    </row>
    <row r="70" ht="15.75" customHeight="1" s="42">
      <c r="A70" s="62" t="n"/>
      <c r="B70" s="62" t="n"/>
      <c r="C70" s="62" t="n"/>
      <c r="D70" s="62" t="n"/>
      <c r="E70" s="62" t="n"/>
    </row>
    <row r="71" ht="15.75" customHeight="1" s="42">
      <c r="A71" s="62" t="n"/>
      <c r="B71" s="62" t="n"/>
      <c r="C71" s="62" t="n"/>
      <c r="D71" s="83" t="n"/>
      <c r="E71" s="84" t="n"/>
    </row>
    <row r="72" ht="15.75" customHeight="1" s="42">
      <c r="A72" s="62" t="n"/>
      <c r="B72" s="62" t="n"/>
      <c r="C72" s="62" t="n"/>
      <c r="D72" s="62" t="n"/>
      <c r="E72" s="62" t="n"/>
    </row>
    <row r="73" ht="15" customHeight="1" s="42">
      <c r="A73" s="62" t="n"/>
      <c r="B73" s="62" t="n"/>
      <c r="C73" s="62" t="n"/>
      <c r="D73" s="83" t="n"/>
      <c r="E73" s="62" t="n"/>
    </row>
    <row r="74" ht="15" customHeight="1" s="42">
      <c r="A74" s="62" t="n"/>
      <c r="B74" s="62" t="n"/>
      <c r="C74" s="62" t="n"/>
      <c r="D74" s="84" t="n"/>
      <c r="E74" s="62" t="n"/>
    </row>
    <row r="75" ht="15" customHeight="1" s="42">
      <c r="A75" s="62" t="n"/>
      <c r="B75" s="62" t="n"/>
      <c r="C75" s="62" t="n"/>
      <c r="D75" s="62" t="n"/>
      <c r="E75" s="62" t="n"/>
    </row>
    <row r="76" ht="15" customHeight="1" s="42">
      <c r="A76" s="62" t="n"/>
      <c r="B76" s="62" t="n"/>
      <c r="C76" s="62" t="n"/>
      <c r="D76" s="62" t="n"/>
      <c r="E76" s="62" t="n"/>
    </row>
    <row r="77" ht="15" customHeight="1" s="42">
      <c r="A77" s="62" t="n"/>
      <c r="B77" s="62" t="n"/>
      <c r="C77" s="62" t="n"/>
      <c r="D77" s="62" t="n"/>
      <c r="E77" s="62" t="n"/>
    </row>
    <row r="78" ht="15" customHeight="1" s="42">
      <c r="A78" s="62" t="n"/>
      <c r="B78" s="62" t="n"/>
      <c r="C78" s="62" t="n"/>
      <c r="D78" s="62" t="n"/>
      <c r="E78" s="62" t="n"/>
    </row>
    <row r="79" ht="15" customHeight="1" s="42">
      <c r="A79" s="62" t="n"/>
      <c r="B79" s="62" t="n"/>
      <c r="C79" s="62" t="n"/>
      <c r="D79" s="62" t="n"/>
      <c r="E79" s="62" t="n"/>
    </row>
    <row r="80" ht="15" customHeight="1" s="42">
      <c r="A80" s="62" t="n"/>
      <c r="B80" s="62" t="n"/>
      <c r="C80" s="62" t="n"/>
      <c r="D80" s="62" t="n"/>
      <c r="E80" s="62" t="n"/>
    </row>
    <row r="81" ht="15" customHeight="1" s="42">
      <c r="A81" s="62" t="n"/>
      <c r="B81" s="62" t="n"/>
      <c r="C81" s="62" t="n"/>
      <c r="D81" s="62" t="n"/>
      <c r="E81" s="62" t="n"/>
    </row>
    <row r="82" ht="15" customHeight="1" s="42">
      <c r="A82" s="62" t="n"/>
      <c r="B82" s="62" t="n"/>
      <c r="C82" s="62" t="n"/>
      <c r="D82" s="62" t="n"/>
      <c r="E82" s="62" t="n"/>
    </row>
    <row r="83" ht="15" customHeight="1" s="42">
      <c r="A83" s="62" t="n"/>
      <c r="B83" s="62" t="n"/>
      <c r="C83" s="62" t="n"/>
      <c r="D83" s="62" t="n"/>
      <c r="E83" s="62" t="n"/>
    </row>
    <row r="84" ht="15" customHeight="1" s="42">
      <c r="A84" s="62" t="n"/>
      <c r="B84" s="62" t="n"/>
      <c r="C84" s="62" t="n"/>
      <c r="D84" s="62" t="n"/>
      <c r="E84" s="62" t="n"/>
    </row>
    <row r="85" ht="15" customHeight="1" s="42">
      <c r="A85" s="62" t="n"/>
      <c r="B85" s="62" t="n"/>
      <c r="C85" s="62" t="n"/>
      <c r="D85" s="62" t="n"/>
      <c r="E85" s="62" t="n"/>
    </row>
    <row r="86" ht="15" customHeight="1" s="42">
      <c r="A86" s="62" t="n"/>
      <c r="B86" s="62" t="n"/>
      <c r="C86" s="62" t="n"/>
      <c r="D86" s="62" t="n"/>
      <c r="E86" s="62" t="n"/>
    </row>
    <row r="87" ht="15" customHeight="1" s="42">
      <c r="A87" s="62" t="n"/>
      <c r="B87" s="62" t="n"/>
      <c r="C87" s="62" t="n"/>
      <c r="D87" s="62" t="n"/>
      <c r="E87" s="62" t="n"/>
    </row>
    <row r="88" ht="15" customHeight="1" s="42">
      <c r="A88" s="62" t="n"/>
      <c r="B88" s="62" t="n"/>
      <c r="C88" s="62" t="n"/>
      <c r="D88" s="62" t="n"/>
      <c r="E88" s="62" t="n"/>
    </row>
    <row r="89" ht="15" customHeight="1" s="42">
      <c r="A89" s="62" t="n"/>
      <c r="B89" s="62" t="n"/>
      <c r="C89" s="62" t="n"/>
      <c r="D89" s="62" t="n"/>
      <c r="E89" s="62" t="n"/>
    </row>
    <row r="90" ht="15" customHeight="1" s="42">
      <c r="A90" s="62" t="n"/>
      <c r="B90" s="62" t="n"/>
      <c r="C90" s="62" t="n"/>
      <c r="D90" s="62" t="n"/>
      <c r="E90" s="62" t="n"/>
    </row>
    <row r="91" ht="15" customHeight="1" s="42">
      <c r="A91" s="62" t="n"/>
      <c r="B91" s="62" t="n"/>
      <c r="C91" s="62" t="n"/>
      <c r="D91" s="62" t="n"/>
      <c r="E91" s="62" t="n"/>
    </row>
    <row r="92" ht="15" customHeight="1" s="42">
      <c r="A92" s="62" t="n"/>
      <c r="B92" s="62" t="n"/>
      <c r="C92" s="62" t="n"/>
      <c r="D92" s="62" t="n"/>
      <c r="E92" s="62" t="n"/>
    </row>
    <row r="93" ht="15" customHeight="1" s="42">
      <c r="A93" s="62" t="n"/>
      <c r="B93" s="62" t="n"/>
      <c r="C93" s="62" t="n"/>
      <c r="D93" s="62" t="n"/>
      <c r="E93" s="62" t="n"/>
    </row>
    <row r="94" ht="15" customHeight="1" s="42">
      <c r="A94" s="62" t="n"/>
      <c r="B94" s="62" t="n"/>
      <c r="C94" s="62" t="n"/>
      <c r="D94" s="62" t="n"/>
      <c r="E94" s="62" t="n"/>
    </row>
    <row r="95" ht="15" customHeight="1" s="42">
      <c r="A95" s="62" t="n"/>
      <c r="B95" s="62" t="n"/>
      <c r="C95" s="62" t="n"/>
      <c r="D95" s="62" t="n"/>
      <c r="E95" s="62" t="n"/>
    </row>
    <row r="96" ht="15" customHeight="1" s="42">
      <c r="A96" s="62" t="n"/>
      <c r="B96" s="62" t="n"/>
      <c r="C96" s="62" t="n"/>
      <c r="D96" s="62" t="n"/>
      <c r="E96" s="62" t="n"/>
    </row>
    <row r="97" ht="15" customHeight="1" s="42">
      <c r="A97" s="62" t="n"/>
      <c r="B97" s="62" t="n"/>
      <c r="C97" s="62" t="n"/>
      <c r="D97" s="62" t="n"/>
      <c r="E97" s="62" t="n"/>
    </row>
    <row r="98" ht="15" customHeight="1" s="42">
      <c r="A98" s="62" t="n"/>
      <c r="B98" s="62" t="n"/>
      <c r="C98" s="62" t="n"/>
      <c r="D98" s="62" t="n"/>
      <c r="E98" s="62" t="n"/>
    </row>
    <row r="99" ht="15" customHeight="1" s="42">
      <c r="A99" s="62" t="n"/>
      <c r="B99" s="62" t="n"/>
      <c r="C99" s="62" t="n"/>
      <c r="D99" s="62" t="n"/>
      <c r="E99" s="62" t="n"/>
    </row>
    <row r="100" ht="15" customHeight="1" s="42">
      <c r="A100" s="62" t="n"/>
      <c r="B100" s="62" t="n"/>
      <c r="C100" s="62" t="n"/>
      <c r="D100" s="62" t="n"/>
      <c r="E100" s="62" t="n"/>
    </row>
  </sheetData>
  <mergeCells count="1">
    <mergeCell ref="C1:E1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E100"/>
  <sheetViews>
    <sheetView showFormulas="0" showGridLines="1" showRowColHeaders="1" showZeros="1" rightToLeft="0" tabSelected="0" showOutlineSymbols="1" defaultGridColor="1" view="normal" topLeftCell="A36" colorId="64" zoomScale="100" zoomScaleNormal="100" zoomScalePageLayoutView="100" workbookViewId="0">
      <selection pane="topLeft" activeCell="D35" activeCellId="0" sqref="D35"/>
    </sheetView>
  </sheetViews>
  <sheetFormatPr baseColWidth="8" defaultColWidth="8.75390625" defaultRowHeight="15" customHeight="0" zeroHeight="0" outlineLevelRow="0"/>
  <cols>
    <col width="3" customWidth="1" style="59" min="1" max="2"/>
    <col width="3" customWidth="1" style="42" min="2" max="2"/>
    <col width="54" customWidth="1" style="60" min="3" max="3"/>
    <col width="18" customWidth="1" style="60" min="4" max="4"/>
    <col width="14" customWidth="1" style="60" min="5" max="5"/>
  </cols>
  <sheetData>
    <row r="1" ht="26" customHeight="1" s="42">
      <c r="A1" s="62" t="n"/>
      <c r="B1" s="62" t="n"/>
      <c r="C1" s="63" t="inlineStr">
        <is>
          <t>PROFIT &amp; LOSS</t>
        </is>
      </c>
      <c r="D1" s="85" t="n"/>
      <c r="E1" s="86" t="n"/>
    </row>
    <row r="2" ht="16.5" customHeight="1" s="42">
      <c r="A2" s="62" t="n"/>
      <c r="B2" s="62" t="n"/>
      <c r="C2" s="45" t="inlineStr">
        <is>
          <t>DATE</t>
        </is>
      </c>
      <c r="D2" s="64" t="inlineStr">
        <is>
          <t>June 2028 - May 2029</t>
        </is>
      </c>
      <c r="E2" s="64" t="n"/>
    </row>
    <row r="3" ht="16.5" customHeight="1" s="42">
      <c r="A3" s="62" t="n"/>
      <c r="B3" s="62" t="n"/>
      <c r="C3" s="48" t="inlineStr">
        <is>
          <t>REVENUE</t>
        </is>
      </c>
      <c r="D3" s="49" t="n"/>
      <c r="E3" s="49" t="n"/>
    </row>
    <row r="4" ht="15.75" customHeight="1" s="42">
      <c r="A4" s="62" t="n"/>
      <c r="B4" s="62" t="n"/>
      <c r="C4" s="50" t="inlineStr">
        <is>
          <t>Dashboard Subscription</t>
        </is>
      </c>
      <c r="D4" s="51" t="n">
        <v>645000</v>
      </c>
      <c r="E4" s="65">
        <f>D4/D8</f>
        <v/>
      </c>
    </row>
    <row r="5" ht="15" customHeight="1" s="42">
      <c r="A5" s="62" t="n"/>
      <c r="B5" s="62" t="n"/>
      <c r="C5" s="50" t="inlineStr">
        <is>
          <t>LMS Subscription</t>
        </is>
      </c>
      <c r="D5" s="51" t="n">
        <v>340000</v>
      </c>
      <c r="E5" s="65">
        <f>D5/D8</f>
        <v/>
      </c>
    </row>
    <row r="6" ht="15" customHeight="1" s="42">
      <c r="A6" s="62" t="n"/>
      <c r="B6" s="62" t="n"/>
      <c r="C6" s="50" t="inlineStr">
        <is>
          <t>Onboarding Fees</t>
        </is>
      </c>
      <c r="D6" s="51" t="n">
        <v>80000</v>
      </c>
      <c r="E6" s="65">
        <f>D6/D8</f>
        <v/>
      </c>
    </row>
    <row r="7" ht="15" customHeight="1" s="42">
      <c r="A7" s="62" t="n"/>
      <c r="B7" s="62" t="n"/>
      <c r="C7" s="50" t="inlineStr">
        <is>
          <t>Professional Services</t>
        </is>
      </c>
      <c r="D7" s="51" t="n">
        <v>40000</v>
      </c>
      <c r="E7" s="65">
        <f>D7/D8</f>
        <v/>
      </c>
    </row>
    <row r="8" ht="15" customHeight="1" s="42">
      <c r="A8" s="62" t="n"/>
      <c r="B8" s="62" t="n"/>
      <c r="C8" s="52" t="inlineStr">
        <is>
          <t>Gross Revenue</t>
        </is>
      </c>
      <c r="D8" s="53">
        <f>SUM(D4:D7)</f>
        <v/>
      </c>
      <c r="E8" s="66" t="inlineStr">
        <is>
          <t>Sales Mix</t>
        </is>
      </c>
    </row>
    <row r="9" ht="15" customHeight="1" s="42">
      <c r="A9" s="62" t="n"/>
      <c r="B9" s="62" t="n"/>
      <c r="C9" s="54" t="inlineStr">
        <is>
          <t>Less: Discounts &amp; Allowances</t>
        </is>
      </c>
      <c r="D9" s="67" t="n"/>
      <c r="E9" s="68" t="n"/>
    </row>
    <row r="10" ht="15" customHeight="1" s="42">
      <c r="A10" s="62" t="n"/>
      <c r="B10" s="62" t="n"/>
      <c r="C10" s="50" t="inlineStr">
        <is>
          <t>Pilot Promotional Discounts</t>
        </is>
      </c>
      <c r="D10" s="51" t="n">
        <v>2000</v>
      </c>
      <c r="E10" s="69" t="n"/>
    </row>
    <row r="11" ht="15.75" customHeight="1" s="42">
      <c r="A11" s="62" t="n"/>
      <c r="B11" s="62" t="n"/>
      <c r="C11" s="50" t="inlineStr">
        <is>
          <t>Partner Referral Credits</t>
        </is>
      </c>
      <c r="D11" s="51" t="n">
        <v>12000</v>
      </c>
      <c r="E11" s="70" t="n"/>
    </row>
    <row r="12" ht="15.75" customHeight="1" s="42">
      <c r="A12" s="62" t="n"/>
      <c r="B12" s="62" t="n"/>
      <c r="C12" s="50" t="inlineStr">
        <is>
          <t>Early Adopter Credits</t>
        </is>
      </c>
      <c r="D12" s="51" t="n">
        <v>3000</v>
      </c>
      <c r="E12" s="70" t="n"/>
    </row>
    <row r="13" ht="15" customHeight="1" s="42">
      <c r="A13" s="62" t="n"/>
      <c r="B13" s="62" t="n"/>
      <c r="C13" s="50" t="inlineStr">
        <is>
          <t>Refunds &amp; Credits</t>
        </is>
      </c>
      <c r="D13" s="51" t="n">
        <v>5000</v>
      </c>
      <c r="E13" s="70" t="n"/>
    </row>
    <row r="14" ht="15" customHeight="1" s="42">
      <c r="A14" s="62" t="n"/>
      <c r="B14" s="62" t="n"/>
      <c r="C14" s="52" t="inlineStr">
        <is>
          <t>Total Discounts &amp; Allowances</t>
        </is>
      </c>
      <c r="D14" s="53">
        <f>SUM(D10:D13)</f>
        <v/>
      </c>
      <c r="E14" s="71">
        <f>D14/D8</f>
        <v/>
      </c>
    </row>
    <row r="15" ht="15" customHeight="1" s="42">
      <c r="A15" s="62" t="n"/>
      <c r="B15" s="62" t="n"/>
      <c r="C15" s="48" t="inlineStr">
        <is>
          <t>NET REVENUE</t>
        </is>
      </c>
      <c r="D15" s="56">
        <f>D8-D14</f>
        <v/>
      </c>
      <c r="E15" s="72" t="n"/>
    </row>
    <row r="16" ht="15.75" customHeight="1" s="42">
      <c r="A16" s="62" t="n"/>
      <c r="B16" s="62" t="n"/>
      <c r="C16" s="48" t="inlineStr">
        <is>
          <t>COST OF REVENUE</t>
        </is>
      </c>
      <c r="D16" s="73" t="n"/>
      <c r="E16" s="49" t="inlineStr">
        <is>
          <t>% of Net Revenue</t>
        </is>
      </c>
    </row>
    <row r="17" ht="16.5" customHeight="1" s="42">
      <c r="A17" s="62" t="n"/>
      <c r="B17" s="62" t="n"/>
      <c r="C17" s="50" t="inlineStr">
        <is>
          <t>Cloud Hosting &amp; Infrastructure</t>
        </is>
      </c>
      <c r="D17" s="51" t="n">
        <v>55000</v>
      </c>
      <c r="E17" s="65">
        <f>D17/D15</f>
        <v/>
      </c>
    </row>
    <row r="18" ht="15" customHeight="1" s="42">
      <c r="A18" s="62" t="n"/>
      <c r="B18" s="62" t="n"/>
      <c r="C18" s="50" t="inlineStr">
        <is>
          <t>Third-Party API Fees (POS / Labor / Reservation)</t>
        </is>
      </c>
      <c r="D18" s="51" t="n">
        <v>70000</v>
      </c>
      <c r="E18" s="65">
        <f>D18/D15</f>
        <v/>
      </c>
    </row>
    <row r="19" ht="15" customHeight="1" s="42">
      <c r="A19" s="62" t="n"/>
      <c r="B19" s="62" t="n"/>
      <c r="C19" s="50" t="inlineStr">
        <is>
          <t>Payment Processing</t>
        </is>
      </c>
      <c r="D19" s="51" t="n">
        <v>32000</v>
      </c>
      <c r="E19" s="65">
        <f>D19/D15</f>
        <v/>
      </c>
    </row>
    <row r="20" ht="15" customHeight="1" s="42">
      <c r="A20" s="62" t="n"/>
      <c r="B20" s="62" t="n"/>
      <c r="C20" s="50" t="inlineStr">
        <is>
          <t>Customer Support</t>
        </is>
      </c>
      <c r="D20" s="51" t="n">
        <v>58000</v>
      </c>
      <c r="E20" s="65">
        <f>D20/D15</f>
        <v/>
      </c>
    </row>
    <row r="21" ht="15" customHeight="1" s="42">
      <c r="A21" s="62" t="n"/>
      <c r="B21" s="62" t="n"/>
      <c r="C21" s="52" t="inlineStr">
        <is>
          <t>Total Cost of Revenue</t>
        </is>
      </c>
      <c r="D21" s="53">
        <f>SUM(D17:D20)</f>
        <v/>
      </c>
      <c r="E21" s="71">
        <f>D21/D15</f>
        <v/>
      </c>
    </row>
    <row r="22" ht="15" customHeight="1" s="42">
      <c r="A22" s="62" t="n"/>
      <c r="B22" s="62" t="n"/>
      <c r="C22" s="48" t="inlineStr">
        <is>
          <t>GROSS PROFIT</t>
        </is>
      </c>
      <c r="D22" s="56">
        <f>D15-D21</f>
        <v/>
      </c>
      <c r="E22" s="74" t="n"/>
    </row>
    <row r="23" ht="15" customHeight="1" s="42">
      <c r="A23" s="62" t="n"/>
      <c r="B23" s="62" t="n"/>
      <c r="C23" s="57" t="inlineStr">
        <is>
          <t>Gross Margin %</t>
        </is>
      </c>
      <c r="D23" s="58">
        <f>D22/D15</f>
        <v/>
      </c>
      <c r="E23" s="75" t="n"/>
    </row>
    <row r="24" ht="15" customHeight="1" s="42">
      <c r="A24" s="62" t="n"/>
      <c r="B24" s="62" t="n"/>
      <c r="C24" s="48" t="inlineStr">
        <is>
          <t>VARIABLE OPERATING EXPENSES</t>
        </is>
      </c>
      <c r="D24" s="73" t="n"/>
      <c r="E24" s="76" t="n"/>
    </row>
    <row r="25" ht="15.75" customHeight="1" s="42">
      <c r="A25" s="62" t="n"/>
      <c r="B25" s="62" t="n"/>
      <c r="C25" s="54" t="inlineStr">
        <is>
          <t>Sales &amp; Marketing</t>
        </is>
      </c>
      <c r="D25" s="67" t="n"/>
      <c r="E25" s="77" t="n"/>
    </row>
    <row r="26" ht="15.75" customHeight="1" s="42">
      <c r="A26" s="62" t="n"/>
      <c r="B26" s="62" t="n"/>
      <c r="C26" s="50" t="inlineStr">
        <is>
          <t>Advertising - Physical</t>
        </is>
      </c>
      <c r="D26" s="51" t="n">
        <v>60000</v>
      </c>
      <c r="E26" s="65">
        <f>D26/D15</f>
        <v/>
      </c>
    </row>
    <row r="27" ht="15" customHeight="1" s="42">
      <c r="A27" s="62" t="n"/>
      <c r="B27" s="62" t="n"/>
      <c r="C27" s="50" t="inlineStr">
        <is>
          <t>Advertising - Digital</t>
        </is>
      </c>
      <c r="D27" s="51" t="n">
        <v>155000</v>
      </c>
      <c r="E27" s="65">
        <f>D27/D15</f>
        <v/>
      </c>
    </row>
    <row r="28" ht="15" customHeight="1" s="42">
      <c r="A28" s="62" t="n"/>
      <c r="B28" s="62" t="n"/>
      <c r="C28" s="50" t="inlineStr">
        <is>
          <t>Sales Commissions ($100 per new paid customer)</t>
        </is>
      </c>
      <c r="D28" s="51" t="n">
        <v>16100</v>
      </c>
      <c r="E28" s="65">
        <f>D28/D15</f>
        <v/>
      </c>
    </row>
    <row r="29" ht="15" customHeight="1" s="42">
      <c r="A29" s="62" t="n"/>
      <c r="B29" s="62" t="n"/>
      <c r="C29" s="52" t="inlineStr">
        <is>
          <t>Total Sales &amp; Marketing</t>
        </is>
      </c>
      <c r="D29" s="53">
        <f>SUM(D26:D28)</f>
        <v/>
      </c>
      <c r="E29" s="71">
        <f>D29/D15</f>
        <v/>
      </c>
    </row>
    <row r="30" ht="15" customHeight="1" s="42">
      <c r="A30" s="62" t="n"/>
      <c r="B30" s="62" t="n"/>
      <c r="C30" s="54" t="inlineStr">
        <is>
          <t>Research &amp; Development</t>
        </is>
      </c>
      <c r="D30" s="77" t="n"/>
      <c r="E30" s="68" t="n"/>
    </row>
    <row r="31" ht="15" customHeight="1" s="42">
      <c r="A31" s="62" t="n"/>
      <c r="B31" s="62" t="n"/>
      <c r="C31" s="50" t="inlineStr">
        <is>
          <t>Technology (Dev Tools)</t>
        </is>
      </c>
      <c r="D31" s="51" t="n">
        <v>25000</v>
      </c>
      <c r="E31" s="65">
        <f>D31/D15</f>
        <v/>
      </c>
    </row>
    <row r="32" ht="15" customHeight="1" s="42">
      <c r="A32" s="62" t="n"/>
      <c r="B32" s="62" t="n"/>
      <c r="C32" s="50" t="inlineStr">
        <is>
          <t>Software Licenses</t>
        </is>
      </c>
      <c r="D32" s="51" t="n">
        <v>12000</v>
      </c>
      <c r="E32" s="65">
        <f>D32/D15</f>
        <v/>
      </c>
    </row>
    <row r="33" ht="15.75" customHeight="1" s="42">
      <c r="A33" s="62" t="n"/>
      <c r="B33" s="62" t="n"/>
      <c r="C33" s="52" t="inlineStr">
        <is>
          <t>Total Research &amp; Development</t>
        </is>
      </c>
      <c r="D33" s="53">
        <f>SUM(D31:D32)</f>
        <v/>
      </c>
      <c r="E33" s="71">
        <f>D33/D15</f>
        <v/>
      </c>
    </row>
    <row r="34" ht="15.75" customHeight="1" s="42">
      <c r="A34" s="62" t="n"/>
      <c r="B34" s="62" t="n"/>
      <c r="C34" s="54" t="inlineStr">
        <is>
          <t>General &amp; Administrative</t>
        </is>
      </c>
      <c r="D34" s="67" t="n"/>
      <c r="E34" s="77" t="n"/>
    </row>
    <row r="35" ht="15.75" customHeight="1" s="42">
      <c r="A35" s="62" t="n"/>
      <c r="B35" s="62" t="n"/>
      <c r="C35" s="50" t="inlineStr">
        <is>
          <t>Office Supplies</t>
        </is>
      </c>
      <c r="D35" s="51" t="n">
        <v>4000</v>
      </c>
      <c r="E35" s="65">
        <f>D35/D15</f>
        <v/>
      </c>
    </row>
    <row r="36" ht="15" customHeight="1" s="42">
      <c r="A36" s="62" t="n"/>
      <c r="B36" s="62" t="n"/>
      <c r="C36" s="50" t="inlineStr">
        <is>
          <t>Equipment</t>
        </is>
      </c>
      <c r="D36" s="51" t="n">
        <v>4000</v>
      </c>
      <c r="E36" s="65">
        <f>D36/D15</f>
        <v/>
      </c>
    </row>
    <row r="37" ht="15" customHeight="1" s="42">
      <c r="A37" s="62" t="n"/>
      <c r="B37" s="62" t="n"/>
      <c r="C37" s="50" t="inlineStr">
        <is>
          <t>IT Support &amp; Maintenance</t>
        </is>
      </c>
      <c r="D37" s="51" t="n">
        <v>6000</v>
      </c>
      <c r="E37" s="65">
        <f>D37/D15</f>
        <v/>
      </c>
    </row>
    <row r="38" ht="15" customHeight="1" s="42">
      <c r="A38" s="62" t="n"/>
      <c r="B38" s="62" t="n"/>
      <c r="C38" s="50" t="inlineStr">
        <is>
          <t>Third-Party Services (CRM, Ticketing, Analytics)</t>
        </is>
      </c>
      <c r="D38" s="51" t="n">
        <v>20000</v>
      </c>
      <c r="E38" s="65">
        <f>D38/D15</f>
        <v/>
      </c>
    </row>
    <row r="39" ht="15" customHeight="1" s="42">
      <c r="A39" s="62" t="n"/>
      <c r="B39" s="62" t="n"/>
      <c r="C39" s="50" t="inlineStr">
        <is>
          <t>HR &amp; Recruiting</t>
        </is>
      </c>
      <c r="D39" s="51" t="n">
        <v>4000</v>
      </c>
      <c r="E39" s="65">
        <f>D39/D15</f>
        <v/>
      </c>
    </row>
    <row r="40" ht="15.75" customHeight="1" s="42">
      <c r="A40" s="62" t="n"/>
      <c r="B40" s="62" t="n"/>
      <c r="C40" s="50" t="inlineStr">
        <is>
          <t>Professional Fees</t>
        </is>
      </c>
      <c r="D40" s="51" t="n">
        <v>32000</v>
      </c>
      <c r="E40" s="65">
        <f>D40/D15</f>
        <v/>
      </c>
    </row>
    <row r="41" ht="15.75" customHeight="1" s="42">
      <c r="A41" s="62" t="n"/>
      <c r="B41" s="62" t="n"/>
      <c r="C41" s="50" t="inlineStr">
        <is>
          <t>Travel</t>
        </is>
      </c>
      <c r="D41" s="51" t="n">
        <v>27000</v>
      </c>
      <c r="E41" s="65">
        <f>D41/D15</f>
        <v/>
      </c>
    </row>
    <row r="42" ht="15.75" customHeight="1" s="42">
      <c r="A42" s="62" t="n"/>
      <c r="B42" s="62" t="n"/>
      <c r="C42" s="50" t="inlineStr">
        <is>
          <t>Training &amp; Development</t>
        </is>
      </c>
      <c r="D42" s="51" t="n">
        <v>9000</v>
      </c>
      <c r="E42" s="65">
        <f>D42/D15</f>
        <v/>
      </c>
    </row>
    <row r="43" ht="15" customHeight="1" s="42">
      <c r="A43" s="62" t="n"/>
      <c r="B43" s="62" t="n"/>
      <c r="C43" s="52" t="inlineStr">
        <is>
          <t>Total General &amp; Administrative</t>
        </is>
      </c>
      <c r="D43" s="53">
        <f>SUM(D35:D42)</f>
        <v/>
      </c>
      <c r="E43" s="71">
        <f>D43/D15</f>
        <v/>
      </c>
    </row>
    <row r="44" ht="15" customHeight="1" s="42">
      <c r="A44" s="62" t="n"/>
      <c r="B44" s="62" t="n"/>
      <c r="C44" s="48" t="inlineStr">
        <is>
          <t>TOTAL VARIABLE OPERATING EXPENSES</t>
        </is>
      </c>
      <c r="D44" s="56">
        <f>D29+D33+D43</f>
        <v/>
      </c>
      <c r="E44" s="78">
        <f>D44/D15</f>
        <v/>
      </c>
    </row>
    <row r="45" ht="15" customHeight="1" s="42">
      <c r="A45" s="62" t="n"/>
      <c r="B45" s="62" t="n"/>
      <c r="C45" s="48" t="inlineStr">
        <is>
          <t>INCOME BEFORE FIXED COST</t>
        </is>
      </c>
      <c r="D45" s="56">
        <f>D22-D44</f>
        <v/>
      </c>
      <c r="E45" s="74" t="n"/>
    </row>
    <row r="46" ht="15" customHeight="1" s="42">
      <c r="A46" s="62" t="n"/>
      <c r="B46" s="62" t="n"/>
      <c r="C46" s="57" t="inlineStr">
        <is>
          <t>Income Before Fixed Cost Margin %</t>
        </is>
      </c>
      <c r="D46" s="58">
        <f>D45/D15</f>
        <v/>
      </c>
      <c r="E46" s="79" t="n"/>
    </row>
    <row r="47" ht="15" customHeight="1" s="42">
      <c r="A47" s="62" t="n"/>
      <c r="B47" s="62" t="n"/>
      <c r="C47" s="48" t="inlineStr">
        <is>
          <t>FIXED COSTS</t>
        </is>
      </c>
      <c r="D47" s="73" t="n"/>
      <c r="E47" s="80" t="n"/>
    </row>
    <row r="48" ht="15" customHeight="1" s="42">
      <c r="A48" s="62" t="n"/>
      <c r="B48" s="62" t="n"/>
      <c r="C48" s="54" t="inlineStr">
        <is>
          <t>Salaries &amp; Benefits (Base)</t>
        </is>
      </c>
      <c r="D48" s="67" t="n"/>
      <c r="E48" s="68" t="n"/>
    </row>
    <row r="49" ht="15" customHeight="1" s="42">
      <c r="A49" s="62" t="n"/>
      <c r="B49" s="62" t="n"/>
      <c r="C49" s="50" t="inlineStr">
        <is>
          <t>Executive</t>
        </is>
      </c>
      <c r="D49" s="51" t="n">
        <v>210000</v>
      </c>
      <c r="E49" s="65">
        <f>D49/D15</f>
        <v/>
      </c>
    </row>
    <row r="50" ht="15" customHeight="1" s="42">
      <c r="A50" s="62" t="n"/>
      <c r="B50" s="62" t="n"/>
      <c r="C50" s="50" t="inlineStr">
        <is>
          <t>Engineering</t>
        </is>
      </c>
      <c r="D50" s="51" t="n">
        <v>70000</v>
      </c>
      <c r="E50" s="65">
        <f>D50/D15</f>
        <v/>
      </c>
    </row>
    <row r="51" ht="15" customHeight="1" s="42">
      <c r="A51" s="62" t="n"/>
      <c r="B51" s="62" t="n"/>
      <c r="C51" s="50" t="inlineStr">
        <is>
          <t>Sales</t>
        </is>
      </c>
      <c r="D51" s="51" t="n">
        <v>33000</v>
      </c>
      <c r="E51" s="65">
        <f>D51/D15</f>
        <v/>
      </c>
    </row>
    <row r="52" ht="15" customHeight="1" s="42">
      <c r="A52" s="62" t="n"/>
      <c r="B52" s="62" t="n"/>
      <c r="C52" s="50" t="inlineStr">
        <is>
          <t>Customer Success</t>
        </is>
      </c>
      <c r="D52" s="51" t="n">
        <v>72000</v>
      </c>
      <c r="E52" s="65">
        <f>D52/D15</f>
        <v/>
      </c>
    </row>
    <row r="53" ht="15" customHeight="1" s="42">
      <c r="A53" s="62" t="n"/>
      <c r="B53" s="62" t="n"/>
      <c r="C53" s="52" t="inlineStr">
        <is>
          <t>Total Salaries &amp; Benefits</t>
        </is>
      </c>
      <c r="D53" s="53">
        <f>SUM(D49:D52)</f>
        <v/>
      </c>
      <c r="E53" s="71">
        <f>D53/D15</f>
        <v/>
      </c>
    </row>
    <row r="54" ht="15" customHeight="1" s="42">
      <c r="A54" s="62" t="n"/>
      <c r="B54" s="62" t="n"/>
      <c r="C54" s="50" t="inlineStr">
        <is>
          <t>Insurance</t>
        </is>
      </c>
      <c r="D54" s="51" t="n">
        <v>10000</v>
      </c>
      <c r="E54" s="65">
        <f>D54/D15</f>
        <v/>
      </c>
    </row>
    <row r="55" ht="15" customHeight="1" s="42">
      <c r="A55" s="62" t="n"/>
      <c r="B55" s="62" t="n"/>
      <c r="C55" s="48" t="inlineStr">
        <is>
          <t>Total Fixed Costs</t>
        </is>
      </c>
      <c r="D55" s="56">
        <f>D53+D54</f>
        <v/>
      </c>
      <c r="E55" s="78">
        <f>D55/D15</f>
        <v/>
      </c>
    </row>
    <row r="56" ht="15" customHeight="1" s="42">
      <c r="A56" s="62" t="n"/>
      <c r="B56" s="62" t="n"/>
      <c r="C56" s="48" t="inlineStr">
        <is>
          <t>EBITDA</t>
        </is>
      </c>
      <c r="D56" s="56">
        <f>D45-D55</f>
        <v/>
      </c>
      <c r="E56" s="74" t="n"/>
    </row>
    <row r="57" ht="15" customHeight="1" s="42">
      <c r="A57" s="62" t="n"/>
      <c r="B57" s="62" t="n"/>
      <c r="C57" s="57" t="inlineStr">
        <is>
          <t>EBITDA Margin %</t>
        </is>
      </c>
      <c r="D57" s="58">
        <f>D56/D15</f>
        <v/>
      </c>
      <c r="E57" s="81" t="n"/>
    </row>
    <row r="58" ht="15" customHeight="1" s="42">
      <c r="A58" s="62" t="n"/>
      <c r="B58" s="62" t="n"/>
      <c r="C58" s="50" t="inlineStr">
        <is>
          <t>Interest Expense</t>
        </is>
      </c>
      <c r="D58" s="51" t="n">
        <v>10000</v>
      </c>
      <c r="E58" s="65">
        <f>D58/D15</f>
        <v/>
      </c>
    </row>
    <row r="59" ht="15" customHeight="1" s="42">
      <c r="A59" s="62" t="n"/>
      <c r="B59" s="62" t="n"/>
      <c r="C59" s="48" t="inlineStr">
        <is>
          <t>NET INCOME</t>
        </is>
      </c>
      <c r="D59" s="56">
        <f>D56-D58</f>
        <v/>
      </c>
      <c r="E59" s="74" t="n"/>
    </row>
    <row r="60" ht="15" customHeight="1" s="42">
      <c r="A60" s="62" t="n"/>
      <c r="B60" s="62" t="n"/>
      <c r="C60" s="57" t="inlineStr">
        <is>
          <t>Net Income Margin %</t>
        </is>
      </c>
      <c r="D60" s="58">
        <f>D59/D15</f>
        <v/>
      </c>
      <c r="E60" s="81" t="n"/>
    </row>
    <row r="61" ht="15" customHeight="1" s="42">
      <c r="A61" s="62" t="n"/>
      <c r="B61" s="62" t="n"/>
      <c r="C61" s="50" t="inlineStr">
        <is>
          <t>Loan Principal Repayment</t>
        </is>
      </c>
      <c r="D61" s="51" t="n">
        <v>40000</v>
      </c>
      <c r="E61" s="65">
        <f>D61/D15</f>
        <v/>
      </c>
    </row>
    <row r="62" ht="15.75" customHeight="1" s="42">
      <c r="A62" s="62" t="n"/>
      <c r="B62" s="62" t="n"/>
      <c r="C62" s="48" t="inlineStr">
        <is>
          <t>FREE CASH FLOW AFTER DEBT SERVICE</t>
        </is>
      </c>
      <c r="D62" s="56">
        <f>D59-D61</f>
        <v/>
      </c>
      <c r="E62" s="72" t="n"/>
    </row>
    <row r="63" ht="15.75" customHeight="1" s="42">
      <c r="A63" s="62" t="n"/>
      <c r="B63" s="62" t="n"/>
      <c r="C63" s="57" t="inlineStr">
        <is>
          <t>Free Cash Flow Margin %</t>
        </is>
      </c>
      <c r="D63" s="58">
        <f>D62/D15</f>
        <v/>
      </c>
      <c r="E63" s="75" t="n"/>
    </row>
    <row r="64" ht="15.75" customHeight="1" s="42">
      <c r="A64" s="62" t="n"/>
      <c r="B64" s="62" t="n"/>
      <c r="C64" s="62" t="n"/>
      <c r="D64" s="83" t="n"/>
      <c r="E64" s="84" t="n"/>
    </row>
    <row r="65" ht="15" customHeight="1" s="42">
      <c r="A65" s="62" t="n"/>
      <c r="B65" s="62" t="n"/>
      <c r="C65" s="62" t="n"/>
      <c r="D65" s="83" t="n"/>
      <c r="E65" s="84" t="n"/>
    </row>
    <row r="66" ht="15" customHeight="1" s="42">
      <c r="A66" s="62" t="n"/>
      <c r="B66" s="62" t="n"/>
      <c r="C66" s="62" t="n"/>
      <c r="D66" s="84" t="n"/>
      <c r="E66" s="62" t="n"/>
    </row>
    <row r="67" ht="15" customHeight="1" s="42">
      <c r="A67" s="62" t="n"/>
      <c r="B67" s="62" t="n"/>
      <c r="C67" s="62" t="n"/>
      <c r="D67" s="62" t="n"/>
      <c r="E67" s="62" t="n"/>
    </row>
    <row r="68" ht="15" customHeight="1" s="42">
      <c r="A68" s="62" t="n"/>
      <c r="B68" s="62" t="n"/>
      <c r="C68" s="62" t="n"/>
      <c r="D68" s="83" t="n"/>
      <c r="E68" s="62" t="n"/>
    </row>
    <row r="69" ht="15" customHeight="1" s="42">
      <c r="A69" s="62" t="n"/>
      <c r="B69" s="62" t="n"/>
      <c r="C69" s="62" t="n"/>
      <c r="D69" s="84" t="n"/>
      <c r="E69" s="62" t="n"/>
    </row>
    <row r="70" ht="15.75" customHeight="1" s="42">
      <c r="A70" s="62" t="n"/>
      <c r="B70" s="62" t="n"/>
      <c r="C70" s="62" t="n"/>
      <c r="D70" s="62" t="n"/>
      <c r="E70" s="62" t="n"/>
    </row>
    <row r="71" ht="15.75" customHeight="1" s="42">
      <c r="A71" s="62" t="n"/>
      <c r="B71" s="62" t="n"/>
      <c r="C71" s="62" t="n"/>
      <c r="D71" s="83" t="n"/>
      <c r="E71" s="84" t="n"/>
    </row>
    <row r="72" ht="15.75" customHeight="1" s="42">
      <c r="A72" s="62" t="n"/>
      <c r="B72" s="62" t="n"/>
      <c r="C72" s="62" t="n"/>
      <c r="D72" s="62" t="n"/>
      <c r="E72" s="62" t="n"/>
    </row>
    <row r="73" ht="15" customHeight="1" s="42">
      <c r="A73" s="62" t="n"/>
      <c r="B73" s="62" t="n"/>
      <c r="C73" s="62" t="n"/>
      <c r="D73" s="83" t="n"/>
      <c r="E73" s="62" t="n"/>
    </row>
    <row r="74" ht="15" customHeight="1" s="42">
      <c r="A74" s="62" t="n"/>
      <c r="B74" s="62" t="n"/>
      <c r="C74" s="62" t="n"/>
      <c r="D74" s="84" t="n"/>
      <c r="E74" s="62" t="n"/>
    </row>
    <row r="75" ht="15" customHeight="1" s="42">
      <c r="A75" s="62" t="n"/>
      <c r="B75" s="62" t="n"/>
      <c r="C75" s="62" t="n"/>
      <c r="D75" s="62" t="n"/>
      <c r="E75" s="62" t="n"/>
    </row>
    <row r="76" ht="15" customHeight="1" s="42">
      <c r="A76" s="62" t="n"/>
      <c r="B76" s="62" t="n"/>
      <c r="C76" s="62" t="n"/>
      <c r="D76" s="62" t="n"/>
      <c r="E76" s="62" t="n"/>
    </row>
    <row r="77" ht="15" customHeight="1" s="42">
      <c r="A77" s="62" t="n"/>
      <c r="B77" s="62" t="n"/>
      <c r="C77" s="62" t="n"/>
      <c r="D77" s="62" t="n"/>
      <c r="E77" s="62" t="n"/>
    </row>
    <row r="78" ht="15" customHeight="1" s="42">
      <c r="A78" s="62" t="n"/>
      <c r="B78" s="62" t="n"/>
      <c r="C78" s="62" t="n"/>
      <c r="D78" s="62" t="n"/>
      <c r="E78" s="62" t="n"/>
    </row>
    <row r="79" ht="15" customHeight="1" s="42">
      <c r="A79" s="62" t="n"/>
      <c r="B79" s="62" t="n"/>
      <c r="C79" s="62" t="n"/>
      <c r="D79" s="62" t="n"/>
      <c r="E79" s="62" t="n"/>
    </row>
    <row r="80" ht="15" customHeight="1" s="42">
      <c r="A80" s="62" t="n"/>
      <c r="B80" s="62" t="n"/>
      <c r="C80" s="62" t="n"/>
      <c r="D80" s="62" t="n"/>
      <c r="E80" s="62" t="n"/>
    </row>
    <row r="81" ht="15" customHeight="1" s="42">
      <c r="A81" s="62" t="n"/>
      <c r="B81" s="62" t="n"/>
      <c r="C81" s="62" t="n"/>
      <c r="D81" s="62" t="n"/>
      <c r="E81" s="62" t="n"/>
    </row>
    <row r="82" ht="15" customHeight="1" s="42">
      <c r="A82" s="62" t="n"/>
      <c r="B82" s="62" t="n"/>
      <c r="C82" s="62" t="n"/>
      <c r="D82" s="62" t="n"/>
      <c r="E82" s="62" t="n"/>
    </row>
    <row r="83" ht="15" customHeight="1" s="42">
      <c r="A83" s="62" t="n"/>
      <c r="B83" s="62" t="n"/>
      <c r="C83" s="62" t="n"/>
      <c r="D83" s="62" t="n"/>
      <c r="E83" s="62" t="n"/>
    </row>
    <row r="84" ht="15" customHeight="1" s="42">
      <c r="A84" s="62" t="n"/>
      <c r="B84" s="62" t="n"/>
      <c r="C84" s="62" t="n"/>
      <c r="D84" s="62" t="n"/>
      <c r="E84" s="62" t="n"/>
    </row>
    <row r="85" ht="15" customHeight="1" s="42">
      <c r="A85" s="62" t="n"/>
      <c r="B85" s="62" t="n"/>
      <c r="C85" s="62" t="n"/>
      <c r="D85" s="62" t="n"/>
      <c r="E85" s="62" t="n"/>
    </row>
    <row r="86" ht="15" customHeight="1" s="42">
      <c r="A86" s="62" t="n"/>
      <c r="B86" s="62" t="n"/>
      <c r="C86" s="62" t="n"/>
      <c r="D86" s="62" t="n"/>
      <c r="E86" s="62" t="n"/>
    </row>
    <row r="87" ht="15" customHeight="1" s="42">
      <c r="A87" s="62" t="n"/>
      <c r="B87" s="62" t="n"/>
      <c r="C87" s="62" t="n"/>
      <c r="D87" s="62" t="n"/>
      <c r="E87" s="62" t="n"/>
    </row>
    <row r="88" ht="15" customHeight="1" s="42">
      <c r="A88" s="62" t="n"/>
      <c r="B88" s="62" t="n"/>
      <c r="C88" s="62" t="n"/>
      <c r="D88" s="62" t="n"/>
      <c r="E88" s="62" t="n"/>
    </row>
    <row r="89" ht="15" customHeight="1" s="42">
      <c r="A89" s="62" t="n"/>
      <c r="B89" s="62" t="n"/>
      <c r="C89" s="62" t="n"/>
      <c r="D89" s="62" t="n"/>
      <c r="E89" s="62" t="n"/>
    </row>
    <row r="90" ht="15" customHeight="1" s="42">
      <c r="A90" s="62" t="n"/>
      <c r="B90" s="62" t="n"/>
      <c r="C90" s="62" t="n"/>
      <c r="D90" s="62" t="n"/>
      <c r="E90" s="62" t="n"/>
    </row>
    <row r="91" ht="15" customHeight="1" s="42">
      <c r="A91" s="62" t="n"/>
      <c r="B91" s="62" t="n"/>
      <c r="C91" s="62" t="n"/>
      <c r="D91" s="62" t="n"/>
      <c r="E91" s="62" t="n"/>
    </row>
    <row r="92" ht="15" customHeight="1" s="42">
      <c r="A92" s="62" t="n"/>
      <c r="B92" s="62" t="n"/>
      <c r="C92" s="62" t="n"/>
      <c r="D92" s="62" t="n"/>
      <c r="E92" s="62" t="n"/>
    </row>
    <row r="93" ht="15" customHeight="1" s="42">
      <c r="A93" s="62" t="n"/>
      <c r="B93" s="62" t="n"/>
      <c r="C93" s="62" t="n"/>
      <c r="D93" s="62" t="n"/>
      <c r="E93" s="62" t="n"/>
    </row>
    <row r="94" ht="15" customHeight="1" s="42">
      <c r="A94" s="62" t="n"/>
      <c r="B94" s="62" t="n"/>
      <c r="C94" s="62" t="n"/>
      <c r="D94" s="62" t="n"/>
      <c r="E94" s="62" t="n"/>
    </row>
    <row r="95" ht="15" customHeight="1" s="42">
      <c r="A95" s="62" t="n"/>
      <c r="B95" s="62" t="n"/>
      <c r="C95" s="62" t="n"/>
      <c r="D95" s="62" t="n"/>
      <c r="E95" s="62" t="n"/>
    </row>
    <row r="96" ht="15" customHeight="1" s="42">
      <c r="A96" s="62" t="n"/>
      <c r="B96" s="62" t="n"/>
      <c r="C96" s="62" t="n"/>
      <c r="D96" s="62" t="n"/>
      <c r="E96" s="62" t="n"/>
    </row>
    <row r="97" ht="15" customHeight="1" s="42">
      <c r="A97" s="62" t="n"/>
      <c r="B97" s="62" t="n"/>
      <c r="C97" s="62" t="n"/>
      <c r="D97" s="62" t="n"/>
      <c r="E97" s="62" t="n"/>
    </row>
    <row r="98" ht="15" customHeight="1" s="42">
      <c r="A98" s="62" t="n"/>
      <c r="B98" s="62" t="n"/>
      <c r="C98" s="62" t="n"/>
      <c r="D98" s="62" t="n"/>
      <c r="E98" s="62" t="n"/>
    </row>
    <row r="99" ht="15" customHeight="1" s="42">
      <c r="A99" s="62" t="n"/>
      <c r="B99" s="62" t="n"/>
      <c r="C99" s="62" t="n"/>
      <c r="D99" s="62" t="n"/>
      <c r="E99" s="62" t="n"/>
    </row>
    <row r="100" ht="15" customHeight="1" s="42">
      <c r="A100" s="62" t="n"/>
      <c r="B100" s="62" t="n"/>
      <c r="C100" s="62" t="n"/>
      <c r="D100" s="62" t="n"/>
      <c r="E100" s="62" t="n"/>
    </row>
  </sheetData>
  <mergeCells count="1">
    <mergeCell ref="C1:E1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E100"/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D62" activeCellId="0" sqref="D62"/>
    </sheetView>
  </sheetViews>
  <sheetFormatPr baseColWidth="8" defaultColWidth="8.75390625" defaultRowHeight="15" customHeight="0" zeroHeight="0" outlineLevelRow="0"/>
  <cols>
    <col width="3" customWidth="1" style="59" min="1" max="2"/>
    <col width="3" customWidth="1" style="42" min="2" max="2"/>
    <col width="54" customWidth="1" style="60" min="3" max="3"/>
    <col width="18" customWidth="1" style="60" min="4" max="4"/>
    <col width="14" customWidth="1" style="60" min="5" max="5"/>
  </cols>
  <sheetData>
    <row r="1" ht="26" customHeight="1" s="42">
      <c r="A1" s="62" t="n"/>
      <c r="B1" s="62" t="n"/>
      <c r="C1" s="63" t="inlineStr">
        <is>
          <t>PROFIT &amp; LOSS</t>
        </is>
      </c>
      <c r="D1" s="85" t="n"/>
      <c r="E1" s="86" t="n"/>
    </row>
    <row r="2" ht="16.5" customHeight="1" s="42">
      <c r="A2" s="62" t="n"/>
      <c r="B2" s="62" t="n"/>
      <c r="C2" s="45" t="inlineStr">
        <is>
          <t>DATE</t>
        </is>
      </c>
      <c r="D2" s="64" t="inlineStr">
        <is>
          <t>June 2029 - May 2030</t>
        </is>
      </c>
      <c r="E2" s="64" t="n"/>
    </row>
    <row r="3" ht="16.5" customHeight="1" s="42">
      <c r="A3" s="62" t="n"/>
      <c r="B3" s="62" t="n"/>
      <c r="C3" s="48" t="inlineStr">
        <is>
          <t>REVENUE</t>
        </is>
      </c>
      <c r="D3" s="49" t="n"/>
      <c r="E3" s="49" t="n"/>
    </row>
    <row r="4" ht="15.75" customHeight="1" s="42">
      <c r="A4" s="62" t="n"/>
      <c r="B4" s="62" t="n"/>
      <c r="C4" s="50" t="inlineStr">
        <is>
          <t>Dashboard Subscription</t>
        </is>
      </c>
      <c r="D4" s="51" t="n">
        <v>895000</v>
      </c>
      <c r="E4" s="65">
        <f>D4/D8</f>
        <v/>
      </c>
    </row>
    <row r="5" ht="15" customHeight="1" s="42">
      <c r="A5" s="62" t="n"/>
      <c r="B5" s="62" t="n"/>
      <c r="C5" s="50" t="inlineStr">
        <is>
          <t>LMS Subscription</t>
        </is>
      </c>
      <c r="D5" s="51" t="n">
        <v>470000</v>
      </c>
      <c r="E5" s="65">
        <f>D5/D8</f>
        <v/>
      </c>
    </row>
    <row r="6" ht="15" customHeight="1" s="42">
      <c r="A6" s="62" t="n"/>
      <c r="B6" s="62" t="n"/>
      <c r="C6" s="50" t="inlineStr">
        <is>
          <t>Onboarding Fees</t>
        </is>
      </c>
      <c r="D6" s="51" t="n">
        <v>110000</v>
      </c>
      <c r="E6" s="65">
        <f>D6/D8</f>
        <v/>
      </c>
    </row>
    <row r="7" ht="15" customHeight="1" s="42">
      <c r="A7" s="62" t="n"/>
      <c r="B7" s="62" t="n"/>
      <c r="C7" s="50" t="inlineStr">
        <is>
          <t>Professional Services</t>
        </is>
      </c>
      <c r="D7" s="51" t="n">
        <v>60000</v>
      </c>
      <c r="E7" s="65">
        <f>D7/D8</f>
        <v/>
      </c>
    </row>
    <row r="8" ht="15" customHeight="1" s="42">
      <c r="A8" s="62" t="n"/>
      <c r="B8" s="62" t="n"/>
      <c r="C8" s="52" t="inlineStr">
        <is>
          <t>Gross Revenue</t>
        </is>
      </c>
      <c r="D8" s="53">
        <f>SUM(D4:D7)</f>
        <v/>
      </c>
      <c r="E8" s="66" t="inlineStr">
        <is>
          <t>Sales Mix</t>
        </is>
      </c>
    </row>
    <row r="9" ht="15" customHeight="1" s="42">
      <c r="A9" s="62" t="n"/>
      <c r="B9" s="62" t="n"/>
      <c r="C9" s="54" t="inlineStr">
        <is>
          <t>Less: Discounts &amp; Allowances</t>
        </is>
      </c>
      <c r="D9" s="67" t="n"/>
      <c r="E9" s="68" t="n"/>
    </row>
    <row r="10" ht="15" customHeight="1" s="42">
      <c r="A10" s="62" t="n"/>
      <c r="B10" s="62" t="n"/>
      <c r="C10" s="50" t="inlineStr">
        <is>
          <t>Pilot Promotional Discounts</t>
        </is>
      </c>
      <c r="D10" s="51" t="n">
        <v>1000</v>
      </c>
      <c r="E10" s="69" t="n"/>
    </row>
    <row r="11" ht="15.75" customHeight="1" s="42">
      <c r="A11" s="62" t="n"/>
      <c r="B11" s="62" t="n"/>
      <c r="C11" s="50" t="inlineStr">
        <is>
          <t>Partner Referral Credits</t>
        </is>
      </c>
      <c r="D11" s="51" t="n">
        <v>17000</v>
      </c>
      <c r="E11" s="70" t="n"/>
    </row>
    <row r="12" ht="15.75" customHeight="1" s="42">
      <c r="A12" s="62" t="n"/>
      <c r="B12" s="62" t="n"/>
      <c r="C12" s="50" t="inlineStr">
        <is>
          <t>Early Adopter Credits</t>
        </is>
      </c>
      <c r="D12" s="51" t="n">
        <v>2000</v>
      </c>
      <c r="E12" s="70" t="n"/>
    </row>
    <row r="13" ht="15" customHeight="1" s="42">
      <c r="A13" s="62" t="n"/>
      <c r="B13" s="62" t="n"/>
      <c r="C13" s="50" t="inlineStr">
        <is>
          <t>Refunds &amp; Credits</t>
        </is>
      </c>
      <c r="D13" s="51" t="n">
        <v>8000</v>
      </c>
      <c r="E13" s="70" t="n"/>
    </row>
    <row r="14" ht="15" customHeight="1" s="42">
      <c r="A14" s="62" t="n"/>
      <c r="B14" s="62" t="n"/>
      <c r="C14" s="52" t="inlineStr">
        <is>
          <t>Total Discounts &amp; Allowances</t>
        </is>
      </c>
      <c r="D14" s="53">
        <f>SUM(D10:D13)</f>
        <v/>
      </c>
      <c r="E14" s="71">
        <f>D14/D8</f>
        <v/>
      </c>
    </row>
    <row r="15" ht="15" customHeight="1" s="42">
      <c r="A15" s="62" t="n"/>
      <c r="B15" s="62" t="n"/>
      <c r="C15" s="48" t="inlineStr">
        <is>
          <t>NET REVENUE</t>
        </is>
      </c>
      <c r="D15" s="56">
        <f>D8-D14</f>
        <v/>
      </c>
      <c r="E15" s="72" t="n"/>
    </row>
    <row r="16" ht="15.75" customHeight="1" s="42">
      <c r="A16" s="62" t="n"/>
      <c r="B16" s="62" t="n"/>
      <c r="C16" s="48" t="inlineStr">
        <is>
          <t>COST OF REVENUE</t>
        </is>
      </c>
      <c r="D16" s="73" t="n"/>
      <c r="E16" s="49" t="inlineStr">
        <is>
          <t>% of Net Revenue</t>
        </is>
      </c>
    </row>
    <row r="17" ht="16.5" customHeight="1" s="42">
      <c r="A17" s="62" t="n"/>
      <c r="B17" s="62" t="n"/>
      <c r="C17" s="50" t="inlineStr">
        <is>
          <t>Cloud Hosting &amp; Infrastructure</t>
        </is>
      </c>
      <c r="D17" s="51" t="n">
        <v>75000</v>
      </c>
      <c r="E17" s="65">
        <f>D17/D15</f>
        <v/>
      </c>
    </row>
    <row r="18" ht="15" customHeight="1" s="42">
      <c r="A18" s="62" t="n"/>
      <c r="B18" s="62" t="n"/>
      <c r="C18" s="50" t="inlineStr">
        <is>
          <t>Third-Party API Fees (POS / Labor / Reservation)</t>
        </is>
      </c>
      <c r="D18" s="51" t="n">
        <v>90000</v>
      </c>
      <c r="E18" s="65">
        <f>D18/D15</f>
        <v/>
      </c>
    </row>
    <row r="19" ht="15" customHeight="1" s="42">
      <c r="A19" s="62" t="n"/>
      <c r="B19" s="62" t="n"/>
      <c r="C19" s="50" t="inlineStr">
        <is>
          <t>Payment Processing</t>
        </is>
      </c>
      <c r="D19" s="51" t="n">
        <v>45000</v>
      </c>
      <c r="E19" s="65">
        <f>D19/D15</f>
        <v/>
      </c>
    </row>
    <row r="20" ht="15" customHeight="1" s="42">
      <c r="A20" s="62" t="n"/>
      <c r="B20" s="62" t="n"/>
      <c r="C20" s="50" t="inlineStr">
        <is>
          <t>Customer Support</t>
        </is>
      </c>
      <c r="D20" s="51" t="n">
        <v>78000</v>
      </c>
      <c r="E20" s="65">
        <f>D20/D15</f>
        <v/>
      </c>
    </row>
    <row r="21" ht="15" customHeight="1" s="42">
      <c r="A21" s="62" t="n"/>
      <c r="B21" s="62" t="n"/>
      <c r="C21" s="52" t="inlineStr">
        <is>
          <t>Total Cost of Revenue</t>
        </is>
      </c>
      <c r="D21" s="53">
        <f>SUM(D17:D20)</f>
        <v/>
      </c>
      <c r="E21" s="71">
        <f>D21/D15</f>
        <v/>
      </c>
    </row>
    <row r="22" ht="15" customHeight="1" s="42">
      <c r="A22" s="62" t="n"/>
      <c r="B22" s="62" t="n"/>
      <c r="C22" s="48" t="inlineStr">
        <is>
          <t>GROSS PROFIT</t>
        </is>
      </c>
      <c r="D22" s="56">
        <f>D15-D21</f>
        <v/>
      </c>
      <c r="E22" s="74" t="n"/>
    </row>
    <row r="23" ht="15" customHeight="1" s="42">
      <c r="A23" s="62" t="n"/>
      <c r="B23" s="62" t="n"/>
      <c r="C23" s="57" t="inlineStr">
        <is>
          <t>Gross Margin %</t>
        </is>
      </c>
      <c r="D23" s="58">
        <f>D22/D15</f>
        <v/>
      </c>
      <c r="E23" s="75" t="n"/>
    </row>
    <row r="24" ht="15" customHeight="1" s="42">
      <c r="A24" s="62" t="n"/>
      <c r="B24" s="62" t="n"/>
      <c r="C24" s="48" t="inlineStr">
        <is>
          <t>VARIABLE OPERATING EXPENSES</t>
        </is>
      </c>
      <c r="D24" s="73" t="n"/>
      <c r="E24" s="76" t="n"/>
    </row>
    <row r="25" ht="15.75" customHeight="1" s="42">
      <c r="A25" s="62" t="n"/>
      <c r="B25" s="62" t="n"/>
      <c r="C25" s="54" t="inlineStr">
        <is>
          <t>Sales &amp; Marketing</t>
        </is>
      </c>
      <c r="D25" s="67" t="n"/>
      <c r="E25" s="77" t="n"/>
    </row>
    <row r="26" ht="15.75" customHeight="1" s="42">
      <c r="A26" s="62" t="n"/>
      <c r="B26" s="62" t="n"/>
      <c r="C26" s="50" t="inlineStr">
        <is>
          <t>Advertising - Physical</t>
        </is>
      </c>
      <c r="D26" s="51" t="n">
        <v>85000</v>
      </c>
      <c r="E26" s="65">
        <f>D26/D15</f>
        <v/>
      </c>
    </row>
    <row r="27" ht="15" customHeight="1" s="42">
      <c r="A27" s="62" t="n"/>
      <c r="B27" s="62" t="n"/>
      <c r="C27" s="50" t="inlineStr">
        <is>
          <t>Advertising - Digital</t>
        </is>
      </c>
      <c r="D27" s="51" t="n">
        <v>225000</v>
      </c>
      <c r="E27" s="65">
        <f>D27/D15</f>
        <v/>
      </c>
    </row>
    <row r="28" ht="15" customHeight="1" s="42">
      <c r="A28" s="62" t="n"/>
      <c r="B28" s="62" t="n"/>
      <c r="C28" s="50" t="inlineStr">
        <is>
          <t>Sales Commissions ($100 per new paid customer)</t>
        </is>
      </c>
      <c r="D28" s="51" t="n">
        <v>19500</v>
      </c>
      <c r="E28" s="65">
        <f>D28/D15</f>
        <v/>
      </c>
    </row>
    <row r="29" ht="15" customHeight="1" s="42">
      <c r="A29" s="62" t="n"/>
      <c r="B29" s="62" t="n"/>
      <c r="C29" s="52" t="inlineStr">
        <is>
          <t>Total Sales &amp; Marketing</t>
        </is>
      </c>
      <c r="D29" s="53">
        <f>SUM(D26:D28)</f>
        <v/>
      </c>
      <c r="E29" s="71">
        <f>D29/D15</f>
        <v/>
      </c>
    </row>
    <row r="30" ht="15" customHeight="1" s="42">
      <c r="A30" s="62" t="n"/>
      <c r="B30" s="62" t="n"/>
      <c r="C30" s="54" t="inlineStr">
        <is>
          <t>Research &amp; Development</t>
        </is>
      </c>
      <c r="D30" s="77" t="n"/>
      <c r="E30" s="68" t="n"/>
    </row>
    <row r="31" ht="15" customHeight="1" s="42">
      <c r="A31" s="62" t="n"/>
      <c r="B31" s="62" t="n"/>
      <c r="C31" s="50" t="inlineStr">
        <is>
          <t>Technology (Dev Tools)</t>
        </is>
      </c>
      <c r="D31" s="51" t="n">
        <v>32000</v>
      </c>
      <c r="E31" s="65">
        <f>D31/D15</f>
        <v/>
      </c>
    </row>
    <row r="32" ht="15" customHeight="1" s="42">
      <c r="A32" s="62" t="n"/>
      <c r="B32" s="62" t="n"/>
      <c r="C32" s="50" t="inlineStr">
        <is>
          <t>Software Licenses</t>
        </is>
      </c>
      <c r="D32" s="51" t="n">
        <v>15000</v>
      </c>
      <c r="E32" s="65">
        <f>D32/D15</f>
        <v/>
      </c>
    </row>
    <row r="33" ht="15.75" customHeight="1" s="42">
      <c r="A33" s="62" t="n"/>
      <c r="B33" s="62" t="n"/>
      <c r="C33" s="52" t="inlineStr">
        <is>
          <t>Total Research &amp; Development</t>
        </is>
      </c>
      <c r="D33" s="53">
        <f>SUM(D31:D32)</f>
        <v/>
      </c>
      <c r="E33" s="71">
        <f>D33/D15</f>
        <v/>
      </c>
    </row>
    <row r="34" ht="15.75" customHeight="1" s="42">
      <c r="A34" s="62" t="n"/>
      <c r="B34" s="62" t="n"/>
      <c r="C34" s="54" t="inlineStr">
        <is>
          <t>General &amp; Administrative</t>
        </is>
      </c>
      <c r="D34" s="67" t="n"/>
      <c r="E34" s="77" t="n"/>
    </row>
    <row r="35" ht="15.75" customHeight="1" s="42">
      <c r="A35" s="62" t="n"/>
      <c r="B35" s="62" t="n"/>
      <c r="C35" s="50" t="inlineStr">
        <is>
          <t>Office Supplies</t>
        </is>
      </c>
      <c r="D35" s="51" t="n">
        <v>5000</v>
      </c>
      <c r="E35" s="65">
        <f>D35/D15</f>
        <v/>
      </c>
    </row>
    <row r="36" ht="15" customHeight="1" s="42">
      <c r="A36" s="62" t="n"/>
      <c r="B36" s="62" t="n"/>
      <c r="C36" s="50" t="inlineStr">
        <is>
          <t>Equipment</t>
        </is>
      </c>
      <c r="D36" s="51" t="n">
        <v>6000</v>
      </c>
      <c r="E36" s="65">
        <f>D36/D15</f>
        <v/>
      </c>
    </row>
    <row r="37" ht="15" customHeight="1" s="42">
      <c r="A37" s="62" t="n"/>
      <c r="B37" s="62" t="n"/>
      <c r="C37" s="50" t="inlineStr">
        <is>
          <t>IT Support &amp; Maintenance</t>
        </is>
      </c>
      <c r="D37" s="51" t="n">
        <v>7000</v>
      </c>
      <c r="E37" s="65">
        <f>D37/D15</f>
        <v/>
      </c>
    </row>
    <row r="38" ht="15" customHeight="1" s="42">
      <c r="A38" s="62" t="n"/>
      <c r="B38" s="62" t="n"/>
      <c r="C38" s="50" t="inlineStr">
        <is>
          <t>Third-Party Services (CRM, Ticketing, Analytics)</t>
        </is>
      </c>
      <c r="D38" s="51" t="n">
        <v>26000</v>
      </c>
      <c r="E38" s="65">
        <f>D38/D15</f>
        <v/>
      </c>
    </row>
    <row r="39" ht="15" customHeight="1" s="42">
      <c r="A39" s="62" t="n"/>
      <c r="B39" s="62" t="n"/>
      <c r="C39" s="50" t="inlineStr">
        <is>
          <t>HR &amp; Recruiting</t>
        </is>
      </c>
      <c r="D39" s="51" t="n">
        <v>4000</v>
      </c>
      <c r="E39" s="65">
        <f>D39/D15</f>
        <v/>
      </c>
    </row>
    <row r="40" ht="15.75" customHeight="1" s="42">
      <c r="A40" s="62" t="n"/>
      <c r="B40" s="62" t="n"/>
      <c r="C40" s="50" t="inlineStr">
        <is>
          <t>Professional Fees</t>
        </is>
      </c>
      <c r="D40" s="51" t="n">
        <v>40000</v>
      </c>
      <c r="E40" s="65">
        <f>D40/D15</f>
        <v/>
      </c>
    </row>
    <row r="41" ht="15.75" customHeight="1" s="42">
      <c r="A41" s="62" t="n"/>
      <c r="B41" s="62" t="n"/>
      <c r="C41" s="50" t="inlineStr">
        <is>
          <t>Travel</t>
        </is>
      </c>
      <c r="D41" s="51" t="n">
        <v>34000</v>
      </c>
      <c r="E41" s="65">
        <f>D41/D15</f>
        <v/>
      </c>
    </row>
    <row r="42" ht="15.75" customHeight="1" s="42">
      <c r="A42" s="62" t="n"/>
      <c r="B42" s="62" t="n"/>
      <c r="C42" s="50" t="inlineStr">
        <is>
          <t>Training &amp; Development</t>
        </is>
      </c>
      <c r="D42" s="51" t="n">
        <v>12000</v>
      </c>
      <c r="E42" s="65">
        <f>D42/D15</f>
        <v/>
      </c>
    </row>
    <row r="43" ht="15" customHeight="1" s="42">
      <c r="A43" s="62" t="n"/>
      <c r="B43" s="62" t="n"/>
      <c r="C43" s="52" t="inlineStr">
        <is>
          <t>Total General &amp; Administrative</t>
        </is>
      </c>
      <c r="D43" s="53">
        <f>SUM(D35:D42)</f>
        <v/>
      </c>
      <c r="E43" s="71">
        <f>D43/D15</f>
        <v/>
      </c>
    </row>
    <row r="44" ht="15" customHeight="1" s="42">
      <c r="A44" s="62" t="n"/>
      <c r="B44" s="62" t="n"/>
      <c r="C44" s="48" t="inlineStr">
        <is>
          <t>TOTAL VARIABLE OPERATING EXPENSES</t>
        </is>
      </c>
      <c r="D44" s="56">
        <f>D29+D33+D43</f>
        <v/>
      </c>
      <c r="E44" s="78">
        <f>D44/D15</f>
        <v/>
      </c>
    </row>
    <row r="45" ht="15" customHeight="1" s="42">
      <c r="A45" s="62" t="n"/>
      <c r="B45" s="62" t="n"/>
      <c r="C45" s="48" t="inlineStr">
        <is>
          <t>INCOME BEFORE FIXED COST</t>
        </is>
      </c>
      <c r="D45" s="56">
        <f>D22-D44</f>
        <v/>
      </c>
      <c r="E45" s="74" t="n"/>
    </row>
    <row r="46" ht="15" customHeight="1" s="42">
      <c r="A46" s="62" t="n"/>
      <c r="B46" s="62" t="n"/>
      <c r="C46" s="57" t="inlineStr">
        <is>
          <t>Income Before Fixed Cost Margin %</t>
        </is>
      </c>
      <c r="D46" s="58">
        <f>D45/D15</f>
        <v/>
      </c>
      <c r="E46" s="79" t="n"/>
    </row>
    <row r="47" ht="15" customHeight="1" s="42">
      <c r="A47" s="62" t="n"/>
      <c r="B47" s="62" t="n"/>
      <c r="C47" s="48" t="inlineStr">
        <is>
          <t>FIXED COSTS</t>
        </is>
      </c>
      <c r="D47" s="73" t="n"/>
      <c r="E47" s="80" t="n"/>
    </row>
    <row r="48" ht="15" customHeight="1" s="42">
      <c r="A48" s="62" t="n"/>
      <c r="B48" s="62" t="n"/>
      <c r="C48" s="54" t="inlineStr">
        <is>
          <t>Salaries &amp; Benefits (Base)</t>
        </is>
      </c>
      <c r="D48" s="67" t="n"/>
      <c r="E48" s="68" t="n"/>
    </row>
    <row r="49" ht="15" customHeight="1" s="42">
      <c r="A49" s="62" t="n"/>
      <c r="B49" s="62" t="n"/>
      <c r="C49" s="50" t="inlineStr">
        <is>
          <t>Executive</t>
        </is>
      </c>
      <c r="D49" s="51" t="n">
        <v>260000</v>
      </c>
      <c r="E49" s="65">
        <f>D49/D15</f>
        <v/>
      </c>
    </row>
    <row r="50" ht="15" customHeight="1" s="42">
      <c r="A50" s="62" t="n"/>
      <c r="B50" s="62" t="n"/>
      <c r="C50" s="50" t="inlineStr">
        <is>
          <t>Engineering</t>
        </is>
      </c>
      <c r="D50" s="51" t="n">
        <v>95000</v>
      </c>
      <c r="E50" s="65">
        <f>D50/D15</f>
        <v/>
      </c>
    </row>
    <row r="51" ht="15" customHeight="1" s="42">
      <c r="A51" s="62" t="n"/>
      <c r="B51" s="62" t="n"/>
      <c r="C51" s="50" t="inlineStr">
        <is>
          <t>Sales</t>
        </is>
      </c>
      <c r="D51" s="51" t="n">
        <v>85000</v>
      </c>
      <c r="E51" s="65">
        <f>D51/D15</f>
        <v/>
      </c>
    </row>
    <row r="52" ht="15" customHeight="1" s="42">
      <c r="A52" s="62" t="n"/>
      <c r="B52" s="62" t="n"/>
      <c r="C52" s="50" t="inlineStr">
        <is>
          <t>Customer Success</t>
        </is>
      </c>
      <c r="D52" s="51" t="n">
        <v>88000</v>
      </c>
      <c r="E52" s="65">
        <f>D52/D15</f>
        <v/>
      </c>
    </row>
    <row r="53" ht="15" customHeight="1" s="42">
      <c r="A53" s="62" t="n"/>
      <c r="B53" s="62" t="n"/>
      <c r="C53" s="52" t="inlineStr">
        <is>
          <t>Total Salaries &amp; Benefits</t>
        </is>
      </c>
      <c r="D53" s="53">
        <f>SUM(D49:D52)</f>
        <v/>
      </c>
      <c r="E53" s="71">
        <f>D53/D15</f>
        <v/>
      </c>
    </row>
    <row r="54" ht="15" customHeight="1" s="42">
      <c r="A54" s="62" t="n"/>
      <c r="B54" s="62" t="n"/>
      <c r="C54" s="50" t="inlineStr">
        <is>
          <t>Insurance</t>
        </is>
      </c>
      <c r="D54" s="51" t="n">
        <v>13000</v>
      </c>
      <c r="E54" s="65">
        <f>D54/D15</f>
        <v/>
      </c>
    </row>
    <row r="55" ht="15" customHeight="1" s="42">
      <c r="A55" s="62" t="n"/>
      <c r="B55" s="62" t="n"/>
      <c r="C55" s="48" t="inlineStr">
        <is>
          <t>Total Fixed Costs</t>
        </is>
      </c>
      <c r="D55" s="56">
        <f>D53+D54</f>
        <v/>
      </c>
      <c r="E55" s="78">
        <f>D55/D15</f>
        <v/>
      </c>
    </row>
    <row r="56" ht="15" customHeight="1" s="42">
      <c r="A56" s="62" t="n"/>
      <c r="B56" s="62" t="n"/>
      <c r="C56" s="48" t="inlineStr">
        <is>
          <t>EBITDA</t>
        </is>
      </c>
      <c r="D56" s="56">
        <f>D45-D55</f>
        <v/>
      </c>
      <c r="E56" s="74" t="n"/>
    </row>
    <row r="57" ht="15" customHeight="1" s="42">
      <c r="A57" s="62" t="n"/>
      <c r="B57" s="62" t="n"/>
      <c r="C57" s="57" t="inlineStr">
        <is>
          <t>EBITDA Margin %</t>
        </is>
      </c>
      <c r="D57" s="58">
        <f>D56/D15</f>
        <v/>
      </c>
      <c r="E57" s="81" t="n"/>
    </row>
    <row r="58" ht="15" customHeight="1" s="42">
      <c r="A58" s="62" t="n"/>
      <c r="B58" s="62" t="n"/>
      <c r="C58" s="50" t="inlineStr">
        <is>
          <t>Interest Expense</t>
        </is>
      </c>
      <c r="D58" s="51" t="n">
        <v>7000</v>
      </c>
      <c r="E58" s="65">
        <f>D58/D15</f>
        <v/>
      </c>
    </row>
    <row r="59" ht="15" customHeight="1" s="42">
      <c r="A59" s="62" t="n"/>
      <c r="B59" s="62" t="n"/>
      <c r="C59" s="48" t="inlineStr">
        <is>
          <t>NET INCOME</t>
        </is>
      </c>
      <c r="D59" s="56">
        <f>D56-D58</f>
        <v/>
      </c>
      <c r="E59" s="74" t="n"/>
    </row>
    <row r="60" ht="15" customHeight="1" s="42">
      <c r="A60" s="62" t="n"/>
      <c r="B60" s="62" t="n"/>
      <c r="C60" s="57" t="inlineStr">
        <is>
          <t>Net Income Margin %</t>
        </is>
      </c>
      <c r="D60" s="58">
        <f>D59/D15</f>
        <v/>
      </c>
      <c r="E60" s="81" t="n"/>
    </row>
    <row r="61" ht="15" customHeight="1" s="42">
      <c r="A61" s="62" t="n"/>
      <c r="B61" s="62" t="n"/>
      <c r="C61" s="50" t="inlineStr">
        <is>
          <t>Loan Principal Repayment</t>
        </is>
      </c>
      <c r="D61" s="51" t="n">
        <v>43000</v>
      </c>
      <c r="E61" s="65">
        <f>D61/D15</f>
        <v/>
      </c>
    </row>
    <row r="62" ht="15.75" customHeight="1" s="42">
      <c r="A62" s="62" t="n"/>
      <c r="B62" s="62" t="n"/>
      <c r="C62" s="48" t="inlineStr">
        <is>
          <t>FREE CASH FLOW AFTER DEBT SERVICE</t>
        </is>
      </c>
      <c r="D62" s="56">
        <f>D59-D61</f>
        <v/>
      </c>
      <c r="E62" s="72" t="n"/>
    </row>
    <row r="63" ht="15.75" customHeight="1" s="42">
      <c r="A63" s="62" t="n"/>
      <c r="B63" s="62" t="n"/>
      <c r="C63" s="57" t="inlineStr">
        <is>
          <t>Free Cash Flow Margin %</t>
        </is>
      </c>
      <c r="D63" s="58">
        <f>D62/D15</f>
        <v/>
      </c>
      <c r="E63" s="75" t="n"/>
    </row>
    <row r="64" ht="15.75" customHeight="1" s="42">
      <c r="A64" s="62" t="n"/>
      <c r="B64" s="62" t="n"/>
      <c r="C64" s="62" t="n"/>
      <c r="D64" s="83" t="n"/>
      <c r="E64" s="84" t="n"/>
    </row>
    <row r="65" ht="15" customHeight="1" s="42">
      <c r="A65" s="62" t="n"/>
      <c r="B65" s="62" t="n"/>
      <c r="C65" s="62" t="n"/>
      <c r="D65" s="83" t="n"/>
      <c r="E65" s="84" t="n"/>
    </row>
    <row r="66" ht="15" customHeight="1" s="42">
      <c r="A66" s="62" t="n"/>
      <c r="B66" s="62" t="n"/>
      <c r="C66" s="62" t="n"/>
      <c r="D66" s="84" t="n"/>
      <c r="E66" s="62" t="n"/>
    </row>
    <row r="67" ht="15" customHeight="1" s="42">
      <c r="A67" s="62" t="n"/>
      <c r="B67" s="62" t="n"/>
      <c r="C67" s="62" t="n"/>
      <c r="D67" s="62" t="n"/>
      <c r="E67" s="62" t="n"/>
    </row>
    <row r="68" ht="15" customHeight="1" s="42">
      <c r="A68" s="62" t="n"/>
      <c r="B68" s="62" t="n"/>
      <c r="C68" s="62" t="n"/>
      <c r="D68" s="83" t="n"/>
      <c r="E68" s="62" t="n"/>
    </row>
    <row r="69" ht="15" customHeight="1" s="42">
      <c r="A69" s="62" t="n"/>
      <c r="B69" s="62" t="n"/>
      <c r="C69" s="62" t="n"/>
      <c r="D69" s="84" t="n"/>
      <c r="E69" s="62" t="n"/>
    </row>
    <row r="70" ht="15.75" customHeight="1" s="42">
      <c r="A70" s="62" t="n"/>
      <c r="B70" s="62" t="n"/>
      <c r="C70" s="62" t="n"/>
      <c r="D70" s="62" t="n"/>
      <c r="E70" s="62" t="n"/>
    </row>
    <row r="71" ht="15.75" customHeight="1" s="42">
      <c r="A71" s="62" t="n"/>
      <c r="B71" s="62" t="n"/>
      <c r="C71" s="62" t="n"/>
      <c r="D71" s="83" t="n"/>
      <c r="E71" s="84" t="n"/>
    </row>
    <row r="72" ht="15.75" customHeight="1" s="42">
      <c r="A72" s="62" t="n"/>
      <c r="B72" s="62" t="n"/>
      <c r="C72" s="62" t="n"/>
      <c r="D72" s="62" t="n"/>
      <c r="E72" s="62" t="n"/>
    </row>
    <row r="73" ht="15" customHeight="1" s="42">
      <c r="A73" s="62" t="n"/>
      <c r="B73" s="62" t="n"/>
      <c r="C73" s="62" t="n"/>
      <c r="D73" s="83" t="n"/>
      <c r="E73" s="62" t="n"/>
    </row>
    <row r="74" ht="15" customHeight="1" s="42">
      <c r="A74" s="62" t="n"/>
      <c r="B74" s="62" t="n"/>
      <c r="C74" s="62" t="n"/>
      <c r="D74" s="84" t="n"/>
      <c r="E74" s="62" t="n"/>
    </row>
    <row r="75" ht="15" customHeight="1" s="42">
      <c r="A75" s="62" t="n"/>
      <c r="B75" s="62" t="n"/>
      <c r="C75" s="62" t="n"/>
      <c r="D75" s="62" t="n"/>
      <c r="E75" s="62" t="n"/>
    </row>
    <row r="76" ht="15" customHeight="1" s="42">
      <c r="A76" s="62" t="n"/>
      <c r="B76" s="62" t="n"/>
      <c r="C76" s="62" t="n"/>
      <c r="D76" s="62" t="n"/>
      <c r="E76" s="62" t="n"/>
    </row>
    <row r="77" ht="15" customHeight="1" s="42">
      <c r="A77" s="62" t="n"/>
      <c r="B77" s="62" t="n"/>
      <c r="C77" s="62" t="n"/>
      <c r="D77" s="62" t="n"/>
      <c r="E77" s="62" t="n"/>
    </row>
    <row r="78" ht="15" customHeight="1" s="42">
      <c r="A78" s="62" t="n"/>
      <c r="B78" s="62" t="n"/>
      <c r="C78" s="62" t="n"/>
      <c r="D78" s="62" t="n"/>
      <c r="E78" s="62" t="n"/>
    </row>
    <row r="79" ht="15" customHeight="1" s="42">
      <c r="A79" s="62" t="n"/>
      <c r="B79" s="62" t="n"/>
      <c r="C79" s="62" t="n"/>
      <c r="D79" s="62" t="n"/>
      <c r="E79" s="62" t="n"/>
    </row>
    <row r="80" ht="15" customHeight="1" s="42">
      <c r="A80" s="62" t="n"/>
      <c r="B80" s="62" t="n"/>
      <c r="C80" s="62" t="n"/>
      <c r="D80" s="62" t="n"/>
      <c r="E80" s="62" t="n"/>
    </row>
    <row r="81" ht="15" customHeight="1" s="42">
      <c r="A81" s="62" t="n"/>
      <c r="B81" s="62" t="n"/>
      <c r="C81" s="62" t="n"/>
      <c r="D81" s="62" t="n"/>
      <c r="E81" s="62" t="n"/>
    </row>
    <row r="82" ht="15" customHeight="1" s="42">
      <c r="A82" s="62" t="n"/>
      <c r="B82" s="62" t="n"/>
      <c r="C82" s="62" t="n"/>
      <c r="D82" s="62" t="n"/>
      <c r="E82" s="62" t="n"/>
    </row>
    <row r="83" ht="15" customHeight="1" s="42">
      <c r="A83" s="62" t="n"/>
      <c r="B83" s="62" t="n"/>
      <c r="C83" s="62" t="n"/>
      <c r="D83" s="62" t="n"/>
      <c r="E83" s="62" t="n"/>
    </row>
    <row r="84" ht="15" customHeight="1" s="42">
      <c r="A84" s="62" t="n"/>
      <c r="B84" s="62" t="n"/>
      <c r="C84" s="62" t="n"/>
      <c r="D84" s="62" t="n"/>
      <c r="E84" s="62" t="n"/>
    </row>
    <row r="85" ht="15" customHeight="1" s="42">
      <c r="A85" s="62" t="n"/>
      <c r="B85" s="62" t="n"/>
      <c r="C85" s="62" t="n"/>
      <c r="D85" s="62" t="n"/>
      <c r="E85" s="62" t="n"/>
    </row>
    <row r="86" ht="15" customHeight="1" s="42">
      <c r="A86" s="62" t="n"/>
      <c r="B86" s="62" t="n"/>
      <c r="C86" s="62" t="n"/>
      <c r="D86" s="62" t="n"/>
      <c r="E86" s="62" t="n"/>
    </row>
    <row r="87" ht="15" customHeight="1" s="42">
      <c r="A87" s="62" t="n"/>
      <c r="B87" s="62" t="n"/>
      <c r="C87" s="62" t="n"/>
      <c r="D87" s="62" t="n"/>
      <c r="E87" s="62" t="n"/>
    </row>
    <row r="88" ht="15" customHeight="1" s="42">
      <c r="A88" s="62" t="n"/>
      <c r="B88" s="62" t="n"/>
      <c r="C88" s="62" t="n"/>
      <c r="D88" s="62" t="n"/>
      <c r="E88" s="62" t="n"/>
    </row>
    <row r="89" ht="15" customHeight="1" s="42">
      <c r="A89" s="62" t="n"/>
      <c r="B89" s="62" t="n"/>
      <c r="C89" s="62" t="n"/>
      <c r="D89" s="62" t="n"/>
      <c r="E89" s="62" t="n"/>
    </row>
    <row r="90" ht="15" customHeight="1" s="42">
      <c r="A90" s="62" t="n"/>
      <c r="B90" s="62" t="n"/>
      <c r="C90" s="62" t="n"/>
      <c r="D90" s="62" t="n"/>
      <c r="E90" s="62" t="n"/>
    </row>
    <row r="91" ht="15" customHeight="1" s="42">
      <c r="A91" s="62" t="n"/>
      <c r="B91" s="62" t="n"/>
      <c r="C91" s="62" t="n"/>
      <c r="D91" s="62" t="n"/>
      <c r="E91" s="62" t="n"/>
    </row>
    <row r="92" ht="15" customHeight="1" s="42">
      <c r="A92" s="62" t="n"/>
      <c r="B92" s="62" t="n"/>
      <c r="C92" s="62" t="n"/>
      <c r="D92" s="62" t="n"/>
      <c r="E92" s="62" t="n"/>
    </row>
    <row r="93" ht="15" customHeight="1" s="42">
      <c r="A93" s="62" t="n"/>
      <c r="B93" s="62" t="n"/>
      <c r="C93" s="62" t="n"/>
      <c r="D93" s="62" t="n"/>
      <c r="E93" s="62" t="n"/>
    </row>
    <row r="94" ht="15" customHeight="1" s="42">
      <c r="A94" s="62" t="n"/>
      <c r="B94" s="62" t="n"/>
      <c r="C94" s="62" t="n"/>
      <c r="D94" s="62" t="n"/>
      <c r="E94" s="62" t="n"/>
    </row>
    <row r="95" ht="15" customHeight="1" s="42">
      <c r="A95" s="62" t="n"/>
      <c r="B95" s="62" t="n"/>
      <c r="C95" s="62" t="n"/>
      <c r="D95" s="62" t="n"/>
      <c r="E95" s="62" t="n"/>
    </row>
    <row r="96" ht="15" customHeight="1" s="42">
      <c r="A96" s="62" t="n"/>
      <c r="B96" s="62" t="n"/>
      <c r="C96" s="62" t="n"/>
      <c r="D96" s="62" t="n"/>
      <c r="E96" s="62" t="n"/>
    </row>
    <row r="97" ht="15" customHeight="1" s="42">
      <c r="A97" s="62" t="n"/>
      <c r="B97" s="62" t="n"/>
      <c r="C97" s="62" t="n"/>
      <c r="D97" s="62" t="n"/>
      <c r="E97" s="62" t="n"/>
    </row>
    <row r="98" ht="15" customHeight="1" s="42">
      <c r="A98" s="62" t="n"/>
      <c r="B98" s="62" t="n"/>
      <c r="C98" s="62" t="n"/>
      <c r="D98" s="62" t="n"/>
      <c r="E98" s="62" t="n"/>
    </row>
    <row r="99" ht="15" customHeight="1" s="42">
      <c r="A99" s="62" t="n"/>
      <c r="B99" s="62" t="n"/>
      <c r="C99" s="62" t="n"/>
      <c r="D99" s="62" t="n"/>
      <c r="E99" s="62" t="n"/>
    </row>
    <row r="100" ht="15" customHeight="1" s="42">
      <c r="A100" s="62" t="n"/>
      <c r="B100" s="62" t="n"/>
      <c r="C100" s="62" t="n"/>
      <c r="D100" s="62" t="n"/>
      <c r="E100" s="62" t="n"/>
    </row>
  </sheetData>
  <mergeCells count="1">
    <mergeCell ref="C1:E1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E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48" activeCellId="0" sqref="D48"/>
    </sheetView>
  </sheetViews>
  <sheetFormatPr baseColWidth="8" defaultColWidth="8.75390625" defaultRowHeight="15" customHeight="0" zeroHeight="0" outlineLevelRow="0"/>
  <cols>
    <col width="3" customWidth="1" style="59" min="1" max="2"/>
    <col width="3" customWidth="1" style="42" min="2" max="2"/>
    <col width="54" customWidth="1" style="60" min="3" max="3"/>
    <col width="18" customWidth="1" style="60" min="4" max="4"/>
    <col width="14" customWidth="1" style="60" min="5" max="5"/>
  </cols>
  <sheetData>
    <row r="1" ht="26" customHeight="1" s="42">
      <c r="A1" s="62" t="n"/>
      <c r="B1" s="62" t="n"/>
      <c r="C1" s="63" t="inlineStr">
        <is>
          <t>PROFIT &amp; LOSS</t>
        </is>
      </c>
      <c r="D1" s="85" t="n"/>
      <c r="E1" s="86" t="n"/>
    </row>
    <row r="2" ht="16.5" customHeight="1" s="42">
      <c r="A2" s="62" t="n"/>
      <c r="B2" s="62" t="n"/>
      <c r="C2" s="45" t="inlineStr">
        <is>
          <t>DATE</t>
        </is>
      </c>
      <c r="D2" s="64" t="inlineStr">
        <is>
          <t>June 2030 - May 2031</t>
        </is>
      </c>
      <c r="E2" s="64" t="n"/>
    </row>
    <row r="3" ht="16.5" customHeight="1" s="42">
      <c r="A3" s="62" t="n"/>
      <c r="B3" s="62" t="n"/>
      <c r="C3" s="48" t="inlineStr">
        <is>
          <t>REVENUE</t>
        </is>
      </c>
      <c r="D3" s="49" t="n"/>
      <c r="E3" s="49" t="n"/>
    </row>
    <row r="4" ht="15.75" customHeight="1" s="42">
      <c r="A4" s="62" t="n"/>
      <c r="B4" s="62" t="n"/>
      <c r="C4" s="50" t="inlineStr">
        <is>
          <t>Dashboard Subscription</t>
        </is>
      </c>
      <c r="D4" s="51" t="n">
        <v>1160000</v>
      </c>
      <c r="E4" s="65">
        <f>D4/D8</f>
        <v/>
      </c>
    </row>
    <row r="5" ht="15" customHeight="1" s="42">
      <c r="A5" s="62" t="n"/>
      <c r="B5" s="62" t="n"/>
      <c r="C5" s="50" t="inlineStr">
        <is>
          <t>LMS Subscription</t>
        </is>
      </c>
      <c r="D5" s="51" t="n">
        <v>610000</v>
      </c>
      <c r="E5" s="65">
        <f>D5/D8</f>
        <v/>
      </c>
    </row>
    <row r="6" ht="15" customHeight="1" s="42">
      <c r="A6" s="62" t="n"/>
      <c r="B6" s="62" t="n"/>
      <c r="C6" s="50" t="inlineStr">
        <is>
          <t>Onboarding Fees</t>
        </is>
      </c>
      <c r="D6" s="51" t="n">
        <v>145000</v>
      </c>
      <c r="E6" s="65">
        <f>D6/D8</f>
        <v/>
      </c>
    </row>
    <row r="7" ht="15" customHeight="1" s="42">
      <c r="A7" s="62" t="n"/>
      <c r="B7" s="62" t="n"/>
      <c r="C7" s="50" t="inlineStr">
        <is>
          <t>Professional Services</t>
        </is>
      </c>
      <c r="D7" s="51" t="n">
        <v>85000</v>
      </c>
      <c r="E7" s="65">
        <f>D7/D8</f>
        <v/>
      </c>
    </row>
    <row r="8" ht="15" customHeight="1" s="42">
      <c r="A8" s="62" t="n"/>
      <c r="B8" s="62" t="n"/>
      <c r="C8" s="52" t="inlineStr">
        <is>
          <t>Gross Revenue</t>
        </is>
      </c>
      <c r="D8" s="53">
        <f>SUM(D4:D7)</f>
        <v/>
      </c>
      <c r="E8" s="66" t="inlineStr">
        <is>
          <t>Sales Mix</t>
        </is>
      </c>
    </row>
    <row r="9" ht="15" customHeight="1" s="42">
      <c r="A9" s="62" t="n"/>
      <c r="B9" s="62" t="n"/>
      <c r="C9" s="54" t="inlineStr">
        <is>
          <t>Less: Discounts &amp; Allowances</t>
        </is>
      </c>
      <c r="D9" s="67" t="n"/>
      <c r="E9" s="68" t="n"/>
    </row>
    <row r="10" ht="15" customHeight="1" s="42">
      <c r="A10" s="62" t="n"/>
      <c r="B10" s="62" t="n"/>
      <c r="C10" s="50" t="inlineStr">
        <is>
          <t>Pilot Promotional Discounts</t>
        </is>
      </c>
      <c r="D10" s="51" t="n">
        <v>500</v>
      </c>
      <c r="E10" s="69" t="n"/>
    </row>
    <row r="11" ht="15.75" customHeight="1" s="42">
      <c r="A11" s="62" t="n"/>
      <c r="B11" s="62" t="n"/>
      <c r="C11" s="50" t="inlineStr">
        <is>
          <t>Partner Referral Credits</t>
        </is>
      </c>
      <c r="D11" s="51" t="n">
        <v>22000</v>
      </c>
      <c r="E11" s="70" t="n"/>
    </row>
    <row r="12" ht="15.75" customHeight="1" s="42">
      <c r="A12" s="62" t="n"/>
      <c r="B12" s="62" t="n"/>
      <c r="C12" s="50" t="inlineStr">
        <is>
          <t>Early Adopter Credits</t>
        </is>
      </c>
      <c r="D12" s="51" t="n">
        <v>1000</v>
      </c>
      <c r="E12" s="70" t="n"/>
    </row>
    <row r="13" ht="15" customHeight="1" s="42">
      <c r="A13" s="62" t="n"/>
      <c r="B13" s="62" t="n"/>
      <c r="C13" s="50" t="inlineStr">
        <is>
          <t>Refunds &amp; Credits</t>
        </is>
      </c>
      <c r="D13" s="51" t="n">
        <v>9000</v>
      </c>
      <c r="E13" s="70" t="n"/>
    </row>
    <row r="14" ht="15" customHeight="1" s="42">
      <c r="A14" s="62" t="n"/>
      <c r="B14" s="62" t="n"/>
      <c r="C14" s="52" t="inlineStr">
        <is>
          <t>Total Discounts &amp; Allowances</t>
        </is>
      </c>
      <c r="D14" s="53">
        <f>SUM(D10:D13)</f>
        <v/>
      </c>
      <c r="E14" s="71">
        <f>D14/D8</f>
        <v/>
      </c>
    </row>
    <row r="15" ht="15" customHeight="1" s="42">
      <c r="A15" s="62" t="n"/>
      <c r="B15" s="62" t="n"/>
      <c r="C15" s="48" t="inlineStr">
        <is>
          <t>NET REVENUE</t>
        </is>
      </c>
      <c r="D15" s="56">
        <f>D8-D14</f>
        <v/>
      </c>
      <c r="E15" s="72" t="n"/>
    </row>
    <row r="16" ht="15.75" customHeight="1" s="42">
      <c r="A16" s="62" t="n"/>
      <c r="B16" s="62" t="n"/>
      <c r="C16" s="48" t="inlineStr">
        <is>
          <t>COST OF REVENUE</t>
        </is>
      </c>
      <c r="D16" s="73" t="n"/>
      <c r="E16" s="49" t="inlineStr">
        <is>
          <t>% of Net Revenue</t>
        </is>
      </c>
    </row>
    <row r="17" ht="16.5" customHeight="1" s="42">
      <c r="A17" s="62" t="n"/>
      <c r="B17" s="62" t="n"/>
      <c r="C17" s="50" t="inlineStr">
        <is>
          <t>Cloud Hosting &amp; Infrastructure</t>
        </is>
      </c>
      <c r="D17" s="51" t="n">
        <v>100000</v>
      </c>
      <c r="E17" s="65">
        <f>D17/D15</f>
        <v/>
      </c>
    </row>
    <row r="18" ht="15" customHeight="1" s="42">
      <c r="A18" s="62" t="n"/>
      <c r="B18" s="62" t="n"/>
      <c r="C18" s="50" t="inlineStr">
        <is>
          <t>Third-Party API Fees (POS / Labor / Reservation)</t>
        </is>
      </c>
      <c r="D18" s="51" t="n">
        <v>115000</v>
      </c>
      <c r="E18" s="65">
        <f>D18/D15</f>
        <v/>
      </c>
    </row>
    <row r="19" ht="15" customHeight="1" s="42">
      <c r="A19" s="62" t="n"/>
      <c r="B19" s="62" t="n"/>
      <c r="C19" s="50" t="inlineStr">
        <is>
          <t>Payment Processing</t>
        </is>
      </c>
      <c r="D19" s="51" t="n">
        <v>58000</v>
      </c>
      <c r="E19" s="65">
        <f>D19/D15</f>
        <v/>
      </c>
    </row>
    <row r="20" ht="15" customHeight="1" s="42">
      <c r="A20" s="62" t="n"/>
      <c r="B20" s="62" t="n"/>
      <c r="C20" s="50" t="inlineStr">
        <is>
          <t>Customer Support</t>
        </is>
      </c>
      <c r="D20" s="51" t="n">
        <v>100000</v>
      </c>
      <c r="E20" s="65">
        <f>D20/D15</f>
        <v/>
      </c>
    </row>
    <row r="21" ht="15" customHeight="1" s="42">
      <c r="A21" s="62" t="n"/>
      <c r="B21" s="62" t="n"/>
      <c r="C21" s="52" t="inlineStr">
        <is>
          <t>Total Cost of Revenue</t>
        </is>
      </c>
      <c r="D21" s="53">
        <f>SUM(D17:D20)</f>
        <v/>
      </c>
      <c r="E21" s="71">
        <f>D21/D15</f>
        <v/>
      </c>
    </row>
    <row r="22" ht="15" customHeight="1" s="42">
      <c r="A22" s="62" t="n"/>
      <c r="B22" s="62" t="n"/>
      <c r="C22" s="48" t="inlineStr">
        <is>
          <t>GROSS PROFIT</t>
        </is>
      </c>
      <c r="D22" s="56">
        <f>D15-D21</f>
        <v/>
      </c>
      <c r="E22" s="74" t="n"/>
    </row>
    <row r="23" ht="15" customHeight="1" s="42">
      <c r="A23" s="62" t="n"/>
      <c r="B23" s="62" t="n"/>
      <c r="C23" s="57" t="inlineStr">
        <is>
          <t>Gross Margin %</t>
        </is>
      </c>
      <c r="D23" s="58">
        <f>D22/D15</f>
        <v/>
      </c>
      <c r="E23" s="75" t="n"/>
    </row>
    <row r="24" ht="15" customHeight="1" s="42">
      <c r="A24" s="62" t="n"/>
      <c r="B24" s="62" t="n"/>
      <c r="C24" s="48" t="inlineStr">
        <is>
          <t>VARIABLE OPERATING EXPENSES</t>
        </is>
      </c>
      <c r="D24" s="73" t="n"/>
      <c r="E24" s="76" t="n"/>
    </row>
    <row r="25" ht="15.75" customHeight="1" s="42">
      <c r="A25" s="62" t="n"/>
      <c r="B25" s="62" t="n"/>
      <c r="C25" s="54" t="inlineStr">
        <is>
          <t>Sales &amp; Marketing</t>
        </is>
      </c>
      <c r="D25" s="67" t="n"/>
      <c r="E25" s="77" t="n"/>
    </row>
    <row r="26" ht="15.75" customHeight="1" s="42">
      <c r="A26" s="62" t="n"/>
      <c r="B26" s="62" t="n"/>
      <c r="C26" s="50" t="inlineStr">
        <is>
          <t>Advertising - Physical</t>
        </is>
      </c>
      <c r="D26" s="51" t="n">
        <v>110000</v>
      </c>
      <c r="E26" s="65">
        <f>D26/D15</f>
        <v/>
      </c>
    </row>
    <row r="27" ht="15" customHeight="1" s="42">
      <c r="A27" s="62" t="n"/>
      <c r="B27" s="62" t="n"/>
      <c r="C27" s="50" t="inlineStr">
        <is>
          <t>Advertising - Digital</t>
        </is>
      </c>
      <c r="D27" s="51" t="n">
        <v>280000</v>
      </c>
      <c r="E27" s="65">
        <f>D27/D15</f>
        <v/>
      </c>
    </row>
    <row r="28" ht="15" customHeight="1" s="42">
      <c r="A28" s="62" t="n"/>
      <c r="B28" s="62" t="n"/>
      <c r="C28" s="50" t="inlineStr">
        <is>
          <t>Sales Commissions ($100 per new paid customer)</t>
        </is>
      </c>
      <c r="D28" s="51" t="n">
        <v>22100</v>
      </c>
      <c r="E28" s="65">
        <f>D28/D15</f>
        <v/>
      </c>
    </row>
    <row r="29" ht="15" customHeight="1" s="42">
      <c r="A29" s="62" t="n"/>
      <c r="B29" s="62" t="n"/>
      <c r="C29" s="52" t="inlineStr">
        <is>
          <t>Total Sales &amp; Marketing</t>
        </is>
      </c>
      <c r="D29" s="53">
        <f>SUM(D26:D28)</f>
        <v/>
      </c>
      <c r="E29" s="71">
        <f>D29/D15</f>
        <v/>
      </c>
    </row>
    <row r="30" ht="15" customHeight="1" s="42">
      <c r="A30" s="62" t="n"/>
      <c r="B30" s="62" t="n"/>
      <c r="C30" s="54" t="inlineStr">
        <is>
          <t>Research &amp; Development</t>
        </is>
      </c>
      <c r="D30" s="77" t="n"/>
      <c r="E30" s="68" t="n"/>
    </row>
    <row r="31" ht="15" customHeight="1" s="42">
      <c r="A31" s="62" t="n"/>
      <c r="B31" s="62" t="n"/>
      <c r="C31" s="50" t="inlineStr">
        <is>
          <t>Technology (Dev Tools)</t>
        </is>
      </c>
      <c r="D31" s="51" t="n">
        <v>40000</v>
      </c>
      <c r="E31" s="65">
        <f>D31/D15</f>
        <v/>
      </c>
    </row>
    <row r="32" ht="15" customHeight="1" s="42">
      <c r="A32" s="62" t="n"/>
      <c r="B32" s="62" t="n"/>
      <c r="C32" s="50" t="inlineStr">
        <is>
          <t>Software Licenses</t>
        </is>
      </c>
      <c r="D32" s="51" t="n">
        <v>18000</v>
      </c>
      <c r="E32" s="65">
        <f>D32/D15</f>
        <v/>
      </c>
    </row>
    <row r="33" ht="15.75" customHeight="1" s="42">
      <c r="A33" s="62" t="n"/>
      <c r="B33" s="62" t="n"/>
      <c r="C33" s="52" t="inlineStr">
        <is>
          <t>Total Research &amp; Development</t>
        </is>
      </c>
      <c r="D33" s="53">
        <f>SUM(D31:D32)</f>
        <v/>
      </c>
      <c r="E33" s="71">
        <f>D33/D15</f>
        <v/>
      </c>
    </row>
    <row r="34" ht="15.75" customHeight="1" s="42">
      <c r="A34" s="62" t="n"/>
      <c r="B34" s="62" t="n"/>
      <c r="C34" s="54" t="inlineStr">
        <is>
          <t>General &amp; Administrative</t>
        </is>
      </c>
      <c r="D34" s="67" t="n"/>
      <c r="E34" s="77" t="n"/>
    </row>
    <row r="35" ht="15.75" customHeight="1" s="42">
      <c r="A35" s="62" t="n"/>
      <c r="B35" s="62" t="n"/>
      <c r="C35" s="50" t="inlineStr">
        <is>
          <t>Office Supplies</t>
        </is>
      </c>
      <c r="D35" s="51" t="n">
        <v>6000</v>
      </c>
      <c r="E35" s="65">
        <f>D35/D15</f>
        <v/>
      </c>
    </row>
    <row r="36" ht="15" customHeight="1" s="42">
      <c r="A36" s="62" t="n"/>
      <c r="B36" s="62" t="n"/>
      <c r="C36" s="50" t="inlineStr">
        <is>
          <t>Equipment</t>
        </is>
      </c>
      <c r="D36" s="51" t="n">
        <v>7000</v>
      </c>
      <c r="E36" s="65">
        <f>D36/D15</f>
        <v/>
      </c>
    </row>
    <row r="37" ht="15" customHeight="1" s="42">
      <c r="A37" s="62" t="n"/>
      <c r="B37" s="62" t="n"/>
      <c r="C37" s="50" t="inlineStr">
        <is>
          <t>IT Support &amp; Maintenance</t>
        </is>
      </c>
      <c r="D37" s="51" t="n">
        <v>9000</v>
      </c>
      <c r="E37" s="65">
        <f>D37/D15</f>
        <v/>
      </c>
    </row>
    <row r="38" ht="15" customHeight="1" s="42">
      <c r="A38" s="62" t="n"/>
      <c r="B38" s="62" t="n"/>
      <c r="C38" s="50" t="inlineStr">
        <is>
          <t>Third-Party Services (CRM, Ticketing, Analytics)</t>
        </is>
      </c>
      <c r="D38" s="51" t="n">
        <v>32000</v>
      </c>
      <c r="E38" s="65">
        <f>D38/D15</f>
        <v/>
      </c>
    </row>
    <row r="39" ht="15" customHeight="1" s="42">
      <c r="A39" s="62" t="n"/>
      <c r="B39" s="62" t="n"/>
      <c r="C39" s="50" t="inlineStr">
        <is>
          <t>HR &amp; Recruiting</t>
        </is>
      </c>
      <c r="D39" s="51" t="n">
        <v>4000</v>
      </c>
      <c r="E39" s="65">
        <f>D39/D15</f>
        <v/>
      </c>
    </row>
    <row r="40" ht="15.75" customHeight="1" s="42">
      <c r="A40" s="62" t="n"/>
      <c r="B40" s="62" t="n"/>
      <c r="C40" s="50" t="inlineStr">
        <is>
          <t>Professional Fees</t>
        </is>
      </c>
      <c r="D40" s="51" t="n">
        <v>52000</v>
      </c>
      <c r="E40" s="65">
        <f>D40/D15</f>
        <v/>
      </c>
    </row>
    <row r="41" ht="15.75" customHeight="1" s="42">
      <c r="A41" s="62" t="n"/>
      <c r="B41" s="62" t="n"/>
      <c r="C41" s="50" t="inlineStr">
        <is>
          <t>Travel</t>
        </is>
      </c>
      <c r="D41" s="51" t="n">
        <v>42000</v>
      </c>
      <c r="E41" s="65">
        <f>D41/D15</f>
        <v/>
      </c>
    </row>
    <row r="42" ht="15.75" customHeight="1" s="42">
      <c r="A42" s="62" t="n"/>
      <c r="B42" s="62" t="n"/>
      <c r="C42" s="50" t="inlineStr">
        <is>
          <t>Training &amp; Development</t>
        </is>
      </c>
      <c r="D42" s="51" t="n">
        <v>14000</v>
      </c>
      <c r="E42" s="65">
        <f>D42/D15</f>
        <v/>
      </c>
    </row>
    <row r="43" ht="15" customHeight="1" s="42">
      <c r="A43" s="62" t="n"/>
      <c r="B43" s="62" t="n"/>
      <c r="C43" s="52" t="inlineStr">
        <is>
          <t>Total General &amp; Administrative</t>
        </is>
      </c>
      <c r="D43" s="53">
        <f>SUM(D35:D42)</f>
        <v/>
      </c>
      <c r="E43" s="71">
        <f>D43/D15</f>
        <v/>
      </c>
    </row>
    <row r="44" ht="15" customHeight="1" s="42">
      <c r="A44" s="62" t="n"/>
      <c r="B44" s="62" t="n"/>
      <c r="C44" s="48" t="inlineStr">
        <is>
          <t>TOTAL VARIABLE OPERATING EXPENSES</t>
        </is>
      </c>
      <c r="D44" s="56">
        <f>D29+D33+D43</f>
        <v/>
      </c>
      <c r="E44" s="78">
        <f>D44/D15</f>
        <v/>
      </c>
    </row>
    <row r="45" ht="15" customHeight="1" s="42">
      <c r="A45" s="62" t="n"/>
      <c r="B45" s="62" t="n"/>
      <c r="C45" s="48" t="inlineStr">
        <is>
          <t>INCOME BEFORE FIXED COST</t>
        </is>
      </c>
      <c r="D45" s="56">
        <f>D22-D44</f>
        <v/>
      </c>
      <c r="E45" s="74" t="n"/>
    </row>
    <row r="46" ht="15" customHeight="1" s="42">
      <c r="A46" s="62" t="n"/>
      <c r="B46" s="62" t="n"/>
      <c r="C46" s="57" t="inlineStr">
        <is>
          <t>Income Before Fixed Cost Margin %</t>
        </is>
      </c>
      <c r="D46" s="58">
        <f>D45/D15</f>
        <v/>
      </c>
      <c r="E46" s="79" t="n"/>
    </row>
    <row r="47" ht="15" customHeight="1" s="42">
      <c r="A47" s="62" t="n"/>
      <c r="B47" s="62" t="n"/>
      <c r="C47" s="48" t="inlineStr">
        <is>
          <t>FIXED COSTS</t>
        </is>
      </c>
      <c r="D47" s="73" t="n"/>
      <c r="E47" s="80" t="n"/>
    </row>
    <row r="48" ht="15" customHeight="1" s="42">
      <c r="A48" s="62" t="n"/>
      <c r="B48" s="62" t="n"/>
      <c r="C48" s="54" t="inlineStr">
        <is>
          <t>Salaries &amp; Benefits (Base)</t>
        </is>
      </c>
      <c r="D48" s="67" t="n"/>
      <c r="E48" s="68" t="n"/>
    </row>
    <row r="49" ht="15" customHeight="1" s="42">
      <c r="A49" s="62" t="n"/>
      <c r="B49" s="62" t="n"/>
      <c r="C49" s="50" t="inlineStr">
        <is>
          <t>Executive</t>
        </is>
      </c>
      <c r="D49" s="51" t="n">
        <v>310000</v>
      </c>
      <c r="E49" s="65">
        <f>D49/D15</f>
        <v/>
      </c>
    </row>
    <row r="50" ht="15" customHeight="1" s="42">
      <c r="A50" s="62" t="n"/>
      <c r="B50" s="62" t="n"/>
      <c r="C50" s="50" t="inlineStr">
        <is>
          <t>Engineering</t>
        </is>
      </c>
      <c r="D50" s="51" t="n">
        <v>115000</v>
      </c>
      <c r="E50" s="65">
        <f>D50/D15</f>
        <v/>
      </c>
    </row>
    <row r="51" ht="15" customHeight="1" s="42">
      <c r="A51" s="62" t="n"/>
      <c r="B51" s="62" t="n"/>
      <c r="C51" s="50" t="inlineStr">
        <is>
          <t>Sales</t>
        </is>
      </c>
      <c r="D51" s="51" t="n">
        <v>105000</v>
      </c>
      <c r="E51" s="65">
        <f>D51/D15</f>
        <v/>
      </c>
    </row>
    <row r="52" ht="15" customHeight="1" s="42">
      <c r="A52" s="62" t="n"/>
      <c r="B52" s="62" t="n"/>
      <c r="C52" s="50" t="inlineStr">
        <is>
          <t>Customer Success</t>
        </is>
      </c>
      <c r="D52" s="51" t="n">
        <v>115000</v>
      </c>
      <c r="E52" s="65">
        <f>D52/D15</f>
        <v/>
      </c>
    </row>
    <row r="53" ht="15" customHeight="1" s="42">
      <c r="A53" s="62" t="n"/>
      <c r="B53" s="62" t="n"/>
      <c r="C53" s="50" t="inlineStr">
        <is>
          <t>Operations</t>
        </is>
      </c>
      <c r="D53" s="51" t="n">
        <v>70000</v>
      </c>
      <c r="E53" s="65">
        <f>D53/D15</f>
        <v/>
      </c>
    </row>
    <row r="54" ht="15" customHeight="1" s="42">
      <c r="A54" s="62" t="n"/>
      <c r="B54" s="62" t="n"/>
      <c r="C54" s="52" t="inlineStr">
        <is>
          <t>Total Salaries &amp; Benefits</t>
        </is>
      </c>
      <c r="D54" s="53">
        <f>SUM(D49:D53)</f>
        <v/>
      </c>
      <c r="E54" s="71">
        <f>D54/D15</f>
        <v/>
      </c>
    </row>
    <row r="55" ht="15" customHeight="1" s="42">
      <c r="A55" s="62" t="n"/>
      <c r="B55" s="62" t="n"/>
      <c r="C55" s="50" t="inlineStr">
        <is>
          <t>Insurance</t>
        </is>
      </c>
      <c r="D55" s="51" t="n">
        <v>17000</v>
      </c>
      <c r="E55" s="65">
        <f>D55/D15</f>
        <v/>
      </c>
    </row>
    <row r="56" ht="15" customHeight="1" s="42">
      <c r="A56" s="62" t="n"/>
      <c r="B56" s="62" t="n"/>
      <c r="C56" s="48" t="inlineStr">
        <is>
          <t>Total Fixed Costs</t>
        </is>
      </c>
      <c r="D56" s="56">
        <f>D54+D55</f>
        <v/>
      </c>
      <c r="E56" s="78">
        <f>D56/D15</f>
        <v/>
      </c>
    </row>
    <row r="57" ht="15" customHeight="1" s="42">
      <c r="A57" s="62" t="n"/>
      <c r="B57" s="62" t="n"/>
      <c r="C57" s="48" t="inlineStr">
        <is>
          <t>EBITDA</t>
        </is>
      </c>
      <c r="D57" s="56">
        <f>D45-D56</f>
        <v/>
      </c>
      <c r="E57" s="72" t="n"/>
    </row>
    <row r="58" ht="15" customHeight="1" s="42">
      <c r="A58" s="62" t="n"/>
      <c r="B58" s="62" t="n"/>
      <c r="C58" s="57" t="inlineStr">
        <is>
          <t>EBITDA Margin %</t>
        </is>
      </c>
      <c r="D58" s="58">
        <f>D57/D15</f>
        <v/>
      </c>
      <c r="E58" s="75" t="n"/>
    </row>
    <row r="59" ht="15" customHeight="1" s="42">
      <c r="A59" s="62" t="n"/>
      <c r="B59" s="62" t="n"/>
      <c r="C59" s="50" t="inlineStr">
        <is>
          <t>Interest Expense</t>
        </is>
      </c>
      <c r="D59" s="51" t="n">
        <v>4000</v>
      </c>
      <c r="E59" s="65">
        <f>D59/D15</f>
        <v/>
      </c>
    </row>
    <row r="60" ht="15" customHeight="1" s="42">
      <c r="A60" s="62" t="n"/>
      <c r="B60" s="62" t="n"/>
      <c r="C60" s="48" t="inlineStr">
        <is>
          <t>NET INCOME</t>
        </is>
      </c>
      <c r="D60" s="56">
        <f>D57-D59</f>
        <v/>
      </c>
      <c r="E60" s="72" t="n"/>
    </row>
    <row r="61" ht="15" customHeight="1" s="42">
      <c r="A61" s="62" t="n"/>
      <c r="B61" s="62" t="n"/>
      <c r="C61" s="57" t="inlineStr">
        <is>
          <t>Net Income Margin %</t>
        </is>
      </c>
      <c r="D61" s="58">
        <f>D60/D15</f>
        <v/>
      </c>
      <c r="E61" s="81" t="n"/>
    </row>
    <row r="62" ht="15.75" customHeight="1" s="42">
      <c r="A62" s="62" t="n"/>
      <c r="B62" s="62" t="n"/>
      <c r="C62" s="50" t="inlineStr">
        <is>
          <t>Loan Principal Repayment</t>
        </is>
      </c>
      <c r="D62" s="51" t="n">
        <v>46000</v>
      </c>
      <c r="E62" s="65">
        <f>D62/D15</f>
        <v/>
      </c>
    </row>
    <row r="63" ht="15.75" customHeight="1" s="42">
      <c r="A63" s="62" t="n"/>
      <c r="B63" s="62" t="n"/>
      <c r="C63" s="48" t="inlineStr">
        <is>
          <t>FREE CASH FLOW AFTER DEBT SERVICE</t>
        </is>
      </c>
      <c r="D63" s="56">
        <f>D60-D62</f>
        <v/>
      </c>
      <c r="E63" s="74" t="n"/>
    </row>
    <row r="64" ht="15.75" customHeight="1" s="42">
      <c r="A64" s="62" t="n"/>
      <c r="B64" s="62" t="n"/>
      <c r="C64" s="57" t="inlineStr">
        <is>
          <t>Free Cash Flow Margin %</t>
        </is>
      </c>
      <c r="D64" s="58">
        <f>D63/D15</f>
        <v/>
      </c>
      <c r="E64" s="75" t="n"/>
    </row>
    <row r="65" ht="15" customHeight="1" s="42">
      <c r="A65" s="62" t="n"/>
      <c r="B65" s="62" t="n"/>
      <c r="C65" s="62" t="n"/>
      <c r="D65" s="83" t="n"/>
      <c r="E65" s="84" t="n"/>
    </row>
    <row r="66" ht="15" customHeight="1" s="42">
      <c r="A66" s="62" t="n"/>
      <c r="B66" s="62" t="n"/>
      <c r="C66" s="62" t="n"/>
      <c r="D66" s="83" t="n"/>
      <c r="E66" s="84" t="n"/>
    </row>
    <row r="67" ht="15" customHeight="1" s="42">
      <c r="A67" s="62" t="n"/>
      <c r="B67" s="62" t="n"/>
      <c r="C67" s="62" t="n"/>
      <c r="D67" s="62" t="n"/>
      <c r="E67" s="62" t="n"/>
    </row>
    <row r="68" ht="15" customHeight="1" s="42">
      <c r="A68" s="62" t="n"/>
      <c r="B68" s="62" t="n"/>
      <c r="C68" s="62" t="n"/>
      <c r="D68" s="62" t="n"/>
      <c r="E68" s="62" t="n"/>
    </row>
    <row r="69" ht="15" customHeight="1" s="42">
      <c r="A69" s="62" t="n"/>
      <c r="B69" s="62" t="n"/>
      <c r="C69" s="62" t="n"/>
      <c r="D69" s="83" t="n"/>
      <c r="E69" s="62" t="n"/>
    </row>
    <row r="70" ht="15.75" customHeight="1" s="42">
      <c r="A70" s="62" t="n"/>
      <c r="B70" s="62" t="n"/>
      <c r="C70" s="62" t="n"/>
      <c r="D70" s="84" t="n"/>
      <c r="E70" s="62" t="n"/>
    </row>
    <row r="71" ht="15.75" customHeight="1" s="42">
      <c r="A71" s="62" t="n"/>
      <c r="B71" s="62" t="n"/>
      <c r="C71" s="62" t="n"/>
      <c r="D71" s="62" t="n"/>
      <c r="E71" s="62" t="n"/>
    </row>
    <row r="72" ht="15.75" customHeight="1" s="42">
      <c r="A72" s="62" t="n"/>
      <c r="B72" s="62" t="n"/>
      <c r="C72" s="62" t="n"/>
      <c r="D72" s="83" t="n"/>
      <c r="E72" s="84" t="n"/>
    </row>
    <row r="73" ht="15" customHeight="1" s="42">
      <c r="A73" s="62" t="n"/>
      <c r="B73" s="62" t="n"/>
      <c r="C73" s="62" t="n"/>
      <c r="D73" s="62" t="n"/>
      <c r="E73" s="62" t="n"/>
    </row>
    <row r="74" ht="15" customHeight="1" s="42">
      <c r="A74" s="62" t="n"/>
      <c r="B74" s="62" t="n"/>
      <c r="C74" s="62" t="n"/>
      <c r="D74" s="83" t="n"/>
      <c r="E74" s="62" t="n"/>
    </row>
    <row r="75" ht="15" customHeight="1" s="42">
      <c r="A75" s="62" t="n"/>
      <c r="B75" s="62" t="n"/>
      <c r="C75" s="62" t="n"/>
      <c r="D75" s="84" t="n"/>
      <c r="E75" s="62" t="n"/>
    </row>
    <row r="76" ht="15" customHeight="1" s="42">
      <c r="A76" s="62" t="n"/>
      <c r="B76" s="62" t="n"/>
      <c r="C76" s="62" t="n"/>
      <c r="D76" s="62" t="n"/>
      <c r="E76" s="62" t="n"/>
    </row>
    <row r="77" ht="15" customHeight="1" s="42">
      <c r="A77" s="62" t="n"/>
      <c r="B77" s="62" t="n"/>
      <c r="C77" s="62" t="n"/>
      <c r="D77" s="62" t="n"/>
      <c r="E77" s="62" t="n"/>
    </row>
    <row r="78" ht="15" customHeight="1" s="42">
      <c r="A78" s="62" t="n"/>
      <c r="B78" s="62" t="n"/>
      <c r="C78" s="62" t="n"/>
      <c r="D78" s="62" t="n"/>
      <c r="E78" s="62" t="n"/>
    </row>
    <row r="79" ht="15" customHeight="1" s="42">
      <c r="A79" s="62" t="n"/>
      <c r="B79" s="62" t="n"/>
      <c r="C79" s="62" t="n"/>
      <c r="D79" s="62" t="n"/>
      <c r="E79" s="62" t="n"/>
    </row>
    <row r="80" ht="15" customHeight="1" s="42">
      <c r="A80" s="62" t="n"/>
      <c r="B80" s="62" t="n"/>
      <c r="C80" s="62" t="n"/>
      <c r="D80" s="62" t="n"/>
      <c r="E80" s="62" t="n"/>
    </row>
    <row r="81" ht="15" customHeight="1" s="42">
      <c r="A81" s="62" t="n"/>
      <c r="B81" s="62" t="n"/>
      <c r="C81" s="62" t="n"/>
      <c r="D81" s="62" t="n"/>
      <c r="E81" s="62" t="n"/>
    </row>
    <row r="82" ht="15" customHeight="1" s="42">
      <c r="A82" s="62" t="n"/>
      <c r="B82" s="62" t="n"/>
      <c r="C82" s="62" t="n"/>
      <c r="D82" s="62" t="n"/>
      <c r="E82" s="62" t="n"/>
    </row>
    <row r="83" ht="15" customHeight="1" s="42">
      <c r="A83" s="62" t="n"/>
      <c r="B83" s="62" t="n"/>
      <c r="C83" s="62" t="n"/>
      <c r="D83" s="62" t="n"/>
      <c r="E83" s="62" t="n"/>
    </row>
    <row r="84" ht="15" customHeight="1" s="42">
      <c r="A84" s="62" t="n"/>
      <c r="B84" s="62" t="n"/>
      <c r="C84" s="62" t="n"/>
      <c r="D84" s="62" t="n"/>
      <c r="E84" s="62" t="n"/>
    </row>
    <row r="85" ht="15" customHeight="1" s="42">
      <c r="A85" s="62" t="n"/>
      <c r="B85" s="62" t="n"/>
      <c r="C85" s="62" t="n"/>
      <c r="D85" s="62" t="n"/>
      <c r="E85" s="62" t="n"/>
    </row>
    <row r="86" ht="15" customHeight="1" s="42">
      <c r="A86" s="62" t="n"/>
      <c r="B86" s="62" t="n"/>
      <c r="C86" s="62" t="n"/>
      <c r="D86" s="62" t="n"/>
      <c r="E86" s="62" t="n"/>
    </row>
    <row r="87" ht="15" customHeight="1" s="42">
      <c r="A87" s="62" t="n"/>
      <c r="B87" s="62" t="n"/>
      <c r="C87" s="62" t="n"/>
      <c r="D87" s="62" t="n"/>
      <c r="E87" s="62" t="n"/>
    </row>
    <row r="88" ht="15" customHeight="1" s="42">
      <c r="A88" s="62" t="n"/>
      <c r="B88" s="62" t="n"/>
      <c r="C88" s="62" t="n"/>
      <c r="D88" s="62" t="n"/>
      <c r="E88" s="62" t="n"/>
    </row>
    <row r="89" ht="15" customHeight="1" s="42">
      <c r="A89" s="62" t="n"/>
      <c r="B89" s="62" t="n"/>
      <c r="C89" s="62" t="n"/>
      <c r="D89" s="62" t="n"/>
      <c r="E89" s="62" t="n"/>
    </row>
    <row r="90" ht="15" customHeight="1" s="42">
      <c r="A90" s="62" t="n"/>
      <c r="B90" s="62" t="n"/>
      <c r="C90" s="62" t="n"/>
      <c r="D90" s="62" t="n"/>
      <c r="E90" s="62" t="n"/>
    </row>
    <row r="91" ht="15" customHeight="1" s="42">
      <c r="A91" s="62" t="n"/>
      <c r="B91" s="62" t="n"/>
      <c r="C91" s="62" t="n"/>
      <c r="D91" s="62" t="n"/>
      <c r="E91" s="62" t="n"/>
    </row>
    <row r="92" ht="15" customHeight="1" s="42">
      <c r="A92" s="62" t="n"/>
      <c r="B92" s="62" t="n"/>
      <c r="C92" s="62" t="n"/>
      <c r="D92" s="62" t="n"/>
      <c r="E92" s="62" t="n"/>
    </row>
    <row r="93" ht="15" customHeight="1" s="42">
      <c r="A93" s="62" t="n"/>
      <c r="B93" s="62" t="n"/>
      <c r="C93" s="62" t="n"/>
      <c r="D93" s="62" t="n"/>
      <c r="E93" s="62" t="n"/>
    </row>
    <row r="94" ht="15" customHeight="1" s="42">
      <c r="A94" s="62" t="n"/>
      <c r="B94" s="62" t="n"/>
      <c r="C94" s="62" t="n"/>
      <c r="D94" s="62" t="n"/>
      <c r="E94" s="62" t="n"/>
    </row>
    <row r="95" ht="15" customHeight="1" s="42">
      <c r="A95" s="62" t="n"/>
      <c r="B95" s="62" t="n"/>
      <c r="C95" s="62" t="n"/>
      <c r="D95" s="62" t="n"/>
      <c r="E95" s="62" t="n"/>
    </row>
    <row r="96" ht="15" customHeight="1" s="42">
      <c r="A96" s="62" t="n"/>
      <c r="B96" s="62" t="n"/>
      <c r="C96" s="62" t="n"/>
      <c r="D96" s="62" t="n"/>
      <c r="E96" s="62" t="n"/>
    </row>
    <row r="97" ht="15" customHeight="1" s="42">
      <c r="A97" s="62" t="n"/>
      <c r="B97" s="62" t="n"/>
      <c r="C97" s="62" t="n"/>
      <c r="D97" s="62" t="n"/>
      <c r="E97" s="62" t="n"/>
    </row>
    <row r="98" ht="15" customHeight="1" s="42">
      <c r="A98" s="62" t="n"/>
      <c r="B98" s="62" t="n"/>
      <c r="C98" s="62" t="n"/>
      <c r="D98" s="62" t="n"/>
      <c r="E98" s="62" t="n"/>
    </row>
    <row r="99" ht="15" customHeight="1" s="42">
      <c r="A99" s="62" t="n"/>
      <c r="B99" s="62" t="n"/>
      <c r="C99" s="62" t="n"/>
      <c r="D99" s="62" t="n"/>
      <c r="E99" s="62" t="n"/>
    </row>
    <row r="100" ht="15" customHeight="1" s="42">
      <c r="A100" s="62" t="n"/>
      <c r="B100" s="62" t="n"/>
      <c r="C100" s="62" t="n"/>
      <c r="D100" s="62" t="n"/>
      <c r="E100" s="62" t="n"/>
    </row>
  </sheetData>
  <mergeCells count="1">
    <mergeCell ref="C1:E1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Vanessa Gallegos</dc:creator>
  <dc:language xmlns:dc="http://purl.org/dc/elements/1.1/">en-CA</dc:language>
  <dcterms:created xmlns:dcterms="http://purl.org/dc/terms/" xmlns:xsi="http://www.w3.org/2001/XMLSchema-instance" xsi:type="dcterms:W3CDTF">2026-02-14T20:01:56Z</dcterms:created>
  <dcterms:modified xmlns:dcterms="http://purl.org/dc/terms/" xmlns:xsi="http://www.w3.org/2001/XMLSchema-instance" xsi:type="dcterms:W3CDTF">2026-04-24T02:56:19Z</dcterms:modified>
  <cp:revision>2</cp:revision>
  <cp:lastPrinted>2026-03-04T23:25:06Z</cp:lastPrinted>
</cp:coreProperties>
</file>