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Grants &amp; Tax Credits" sheetId="2" state="visible" r:id="rId4"/>
    <sheet name="Loans &amp; Debt" sheetId="3" state="visible" r:id="rId5"/>
    <sheet name="Angel Networks" sheetId="4" state="visible" r:id="rId6"/>
    <sheet name="Venture Capital" sheetId="5" state="visible" r:id="rId7"/>
    <sheet name="Startup Programs" sheetId="6" state="visible" r:id="rId8"/>
    <sheet name="Industry &amp; Other" sheetId="7" state="visible" r:id="rId9"/>
    <sheet name="Atlantic Canada &amp; Newfoundland" sheetId="8" state="visible" r:id="rId10"/>
  </sheets>
  <definedNames>
    <definedName function="false" hidden="true" localSheetId="3" name="_xlnm._FilterDatabase" vbProcedure="false">'Angel Networks'!$A$3:$I$10</definedName>
    <definedName function="false" hidden="true" localSheetId="7" name="_xlnm._FilterDatabase" vbProcedure="false">'Atlantic Canada &amp; Newfoundland'!$A$3:$I$19</definedName>
    <definedName function="false" hidden="true" localSheetId="1" name="_xlnm._FilterDatabase" vbProcedure="false">'Grants &amp; Tax Credits'!$A$3:$I$21</definedName>
    <definedName function="false" hidden="true" localSheetId="6" name="_xlnm._FilterDatabase" vbProcedure="false">'Industry &amp; Other'!$A$3:$I$9</definedName>
    <definedName function="false" hidden="true" localSheetId="2" name="_xlnm._FilterDatabase" vbProcedure="false">'Loans &amp; Debt'!$A$3:$I$12</definedName>
    <definedName function="false" hidden="true" localSheetId="5" name="_xlnm._FilterDatabase" vbProcedure="false">'Startup Programs'!$A$3:$I$12</definedName>
    <definedName function="false" hidden="true" localSheetId="4" name="_xlnm._FilterDatabase" vbProcedure="false">'Venture Capital'!$A$3:$I$20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<sst xmlns="http://schemas.openxmlformats.org/spreadsheetml/2006/main" count="932" uniqueCount="386">
  <si>
    <t xml:space="preserve">Forge &amp; Flow Funding Tracker</t>
  </si>
  <si>
    <t xml:space="preserve">Legends</t>
  </si>
  <si>
    <t xml:space="preserve">Priority</t>
  </si>
  <si>
    <t xml:space="preserve">Cash Flow</t>
  </si>
  <si>
    <t xml:space="preserve">Status</t>
  </si>
  <si>
    <t xml:space="preserve">VERY HIGH (apply today, no revenue needed)</t>
  </si>
  <si>
    <t xml:space="preserve">Upfront (cash in account before spending)</t>
  </si>
  <si>
    <t xml:space="preserve">-  (not started)</t>
  </si>
  <si>
    <t xml:space="preserve">HIGH (needs deck, customer, or tax year)</t>
  </si>
  <si>
    <t xml:space="preserve">Rebate (spend first, reimbursed later)</t>
  </si>
  <si>
    <t xml:space="preserve">Reached Out (initial contact made)</t>
  </si>
  <si>
    <t xml:space="preserve">MEDIUM (needs recurring revenue or traction)</t>
  </si>
  <si>
    <t xml:space="preserve">Tax Credit (refund at corporate tax filing)</t>
  </si>
  <si>
    <t xml:space="preserve">In Progress (application being prepared)</t>
  </si>
  <si>
    <t xml:space="preserve">LOW (later stage or niche fit)</t>
  </si>
  <si>
    <t xml:space="preserve">Advisory (free services, no cash)</t>
  </si>
  <si>
    <t xml:space="preserve">Submitted (filed, awaiting decision)</t>
  </si>
  <si>
    <t xml:space="preserve">Top Priorities   (edit Status here; the category tabs sync automatically)</t>
  </si>
  <si>
    <t xml:space="preserve">#</t>
  </si>
  <si>
    <t xml:space="preserve">Program / Source</t>
  </si>
  <si>
    <t xml:space="preserve">Type</t>
  </si>
  <si>
    <t xml:space="preserve">Amount (CAD)</t>
  </si>
  <si>
    <t xml:space="preserve">Stage Fit</t>
  </si>
  <si>
    <t xml:space="preserve">URL</t>
  </si>
  <si>
    <t xml:space="preserve">Atlantic Canada Opportunities Agency Business Development Program</t>
  </si>
  <si>
    <t xml:space="preserve">Loan, interest-free repayable</t>
  </si>
  <si>
    <t xml:space="preserve">Up to 50% of capital costs (large projects $500K+)</t>
  </si>
  <si>
    <t xml:space="preserve">Pre-revenue startups eligible; Atlantic-located</t>
  </si>
  <si>
    <t xml:space="preserve">VERY HIGH</t>
  </si>
  <si>
    <t xml:space="preserve">Upfront</t>
  </si>
  <si>
    <t xml:space="preserve">-</t>
  </si>
  <si>
    <t xml:space="preserve">https://www.canada.ca/en/atlantic-canada-opportunities/services/business-development-program.html</t>
  </si>
  <si>
    <t xml:space="preserve">BDC Newcomer Entrepreneur Loan</t>
  </si>
  <si>
    <t xml:space="preserve">Loan (standalone or Futurpreneur co-lend)</t>
  </si>
  <si>
    <t xml:space="preserve">Up to $50,000 standalone; up to $75,000 via Futurpreneur for under 40</t>
  </si>
  <si>
    <t xml:space="preserve">Immigrant within 3 years (PR or protected person); pre-revenue via Futurpreneur path</t>
  </si>
  <si>
    <t xml:space="preserve">https://www.bdc.ca/en/i-am/newcomer-entrepreneur</t>
  </si>
  <si>
    <t xml:space="preserve">Build in Canada Innovation Program / Innovative Solutions Canada</t>
  </si>
  <si>
    <t xml:space="preserve">Grant (government first-customer)</t>
  </si>
  <si>
    <t xml:space="preserve">Up to $500,000 civilian, $1,000,000 military</t>
  </si>
  <si>
    <t xml:space="preserve">Pre-revenue REQUIRED (pre-commercial only)</t>
  </si>
  <si>
    <t xml:space="preserve">https://ised-isde.canada.ca/site/innovative-solutions-canada/en</t>
  </si>
  <si>
    <t xml:space="preserve">Futurpreneur Canada Startup Program + BDC Partner</t>
  </si>
  <si>
    <t xml:space="preserve">Loan + Mentorship</t>
  </si>
  <si>
    <t xml:space="preserve">Up to $75,000 combined (Futurpreneur + BDC)</t>
  </si>
  <si>
    <t xml:space="preserve">Pre-revenue; founders 18 to 39</t>
  </si>
  <si>
    <t xml:space="preserve">https://futurpreneur.ca/en/eligibility/</t>
  </si>
  <si>
    <t xml:space="preserve">Industrial Research Assistance Program (National Research Council of Canada)</t>
  </si>
  <si>
    <t xml:space="preserve">Grant, non-repayable</t>
  </si>
  <si>
    <t xml:space="preserve">$75,000 to $200,000 first project (up to $10M max)</t>
  </si>
  <si>
    <t xml:space="preserve">Pre-revenue incorporated; genuine R&amp;D uncertainty</t>
  </si>
  <si>
    <t xml:space="preserve">https://nrc.canada.ca/en/support-technology-innovation/financial-support-technology-innovation</t>
  </si>
  <si>
    <t xml:space="preserve">NL Business Growth Program (Dept of Industry, Energy and Technology)</t>
  </si>
  <si>
    <t xml:space="preserve">Grant (non-repayable)</t>
  </si>
  <si>
    <t xml:space="preserve">Up to 50% of costs; $200K over 24mo; up to $750K for development</t>
  </si>
  <si>
    <t xml:space="preserve">Pre-revenue NL startups eligible</t>
  </si>
  <si>
    <t xml:space="preserve">https://www.gov.nl.ca/iet/funding/</t>
  </si>
  <si>
    <t xml:space="preserve">Nventure DELIA Women Entrepreneurship Loan Fund</t>
  </si>
  <si>
    <t xml:space="preserve">Loan</t>
  </si>
  <si>
    <t xml:space="preserve">Varies (women-focused NL loan fund)</t>
  </si>
  <si>
    <t xml:space="preserve">Women-owned NL business</t>
  </si>
  <si>
    <t xml:space="preserve">https://nventure.ca/about</t>
  </si>
  <si>
    <t xml:space="preserve">Women Entrepreneurship Organizations of Canada (WEOC) Loan Fund</t>
  </si>
  <si>
    <t xml:space="preserve">Up to $50,000 (average $15,000)</t>
  </si>
  <si>
    <t xml:space="preserve">Pre-revenue okay; 51%+ women-owned (delivered via NLOWE in NL)</t>
  </si>
  <si>
    <t xml:space="preserve">Submitted</t>
  </si>
  <si>
    <t xml:space="preserve">https://weoc.ca/loan-program/</t>
  </si>
  <si>
    <t xml:space="preserve">Women Entrepreneurship Strategy (umbrella)</t>
  </si>
  <si>
    <t xml:space="preserve">Grant, Loan streams</t>
  </si>
  <si>
    <t xml:space="preserve">$1,000 to $250,000 across streams</t>
  </si>
  <si>
    <t xml:space="preserve">Pre-revenue okay; 51%+ women-owned</t>
  </si>
  <si>
    <t xml:space="preserve">https://ised-isde.canada.ca/site/ised/en/programs-and-initiatives/women-entrepreneurship-strategy</t>
  </si>
  <si>
    <t xml:space="preserve">Angel One Investor Network (GTA West, Hamilton)</t>
  </si>
  <si>
    <t xml:space="preserve">Angel Network</t>
  </si>
  <si>
    <t xml:space="preserve">$100,000 to $500,000</t>
  </si>
  <si>
    <t xml:space="preserve">Pre-seed, Seed</t>
  </si>
  <si>
    <t xml:space="preserve">HIGH</t>
  </si>
  <si>
    <t xml:space="preserve">https://www.angelonenetwork.ca</t>
  </si>
  <si>
    <t xml:space="preserve">Business Investment Fund (Newfoundland and Labrador)</t>
  </si>
  <si>
    <t xml:space="preserve">Loan, Equity</t>
  </si>
  <si>
    <t xml:space="preserve">Up to $500,000</t>
  </si>
  <si>
    <t xml:space="preserve">Any NL</t>
  </si>
  <si>
    <t xml:space="preserve">Canada Small Business Financing Program</t>
  </si>
  <si>
    <t xml:space="preserve">Government-Backed Bank Loan</t>
  </si>
  <si>
    <t xml:space="preserve">Up to $1,000,000 ($500K equip; $150K WC)</t>
  </si>
  <si>
    <t xml:space="preserve">Any revenue stage (bank leans on plan strength pre-revenue)</t>
  </si>
  <si>
    <t xml:space="preserve">In Progress</t>
  </si>
  <si>
    <t xml:space="preserve">https://ised-isde.canada.ca/site/canada-small-business-financing-program/en</t>
  </si>
  <si>
    <t xml:space="preserve">Community Business Development Corporation General Business Loan (rural Atlantic)</t>
  </si>
  <si>
    <t xml:space="preserve">Community Loan</t>
  </si>
  <si>
    <t xml:space="preserve">Up to $150,000</t>
  </si>
  <si>
    <t xml:space="preserve">Pre-revenue okay; rural Atlantic geography</t>
  </si>
  <si>
    <t xml:space="preserve">https://www.cbdc.ca/en/programs</t>
  </si>
  <si>
    <t xml:space="preserve">Garage Capital</t>
  </si>
  <si>
    <t xml:space="preserve">Venture Capital</t>
  </si>
  <si>
    <t xml:space="preserve">$250,000 to $1,500,000</t>
  </si>
  <si>
    <t xml:space="preserve">https://garage.co</t>
  </si>
  <si>
    <t xml:space="preserve">Killick Capital (Mark Dobbin, St. John's)</t>
  </si>
  <si>
    <t xml:space="preserve">Private Equity, Growth Capital</t>
  </si>
  <si>
    <t xml:space="preserve">Growth-stage investments</t>
  </si>
  <si>
    <t xml:space="preserve">Established NL companies (future-stage target)</t>
  </si>
  <si>
    <t xml:space="preserve">https://killickcapital.com</t>
  </si>
  <si>
    <t xml:space="preserve">Maple Leaf Angels (Toronto)</t>
  </si>
  <si>
    <t xml:space="preserve">$100,000 to $1,000,000</t>
  </si>
  <si>
    <t xml:space="preserve">https://www.mapleleafangels.com</t>
  </si>
  <si>
    <t xml:space="preserve">Metro Business Opportunities (St. John's / Mount Pearl)</t>
  </si>
  <si>
    <t xml:space="preserve">Impact up to $50,000; Futurpreneur delivery up to $45,000</t>
  </si>
  <si>
    <t xml:space="preserve">Pre-revenue St. John's/Mount Pearl</t>
  </si>
  <si>
    <t xml:space="preserve">https://www.mbobusiness.ca/lending</t>
  </si>
  <si>
    <t xml:space="preserve">National Angel Capital Organization</t>
  </si>
  <si>
    <t xml:space="preserve">Angel Umbrella Organization</t>
  </si>
  <si>
    <t xml:space="preserve">$25,000 to $500,000</t>
  </si>
  <si>
    <t xml:space="preserve">https://www.nacocanada.com</t>
  </si>
  <si>
    <t xml:space="preserve">New Brunswick Innovation Foundation</t>
  </si>
  <si>
    <t xml:space="preserve">Grant + VC (pre-seed/seed)</t>
  </si>
  <si>
    <t xml:space="preserve">$200,000 to $500,000 per round</t>
  </si>
  <si>
    <t xml:space="preserve">NB-based pre-seed/seed tech</t>
  </si>
  <si>
    <t xml:space="preserve">https://nbif.ca</t>
  </si>
  <si>
    <t xml:space="preserve">Nventure thriveFORWARD</t>
  </si>
  <si>
    <t xml:space="preserve">Convertible Note (pre-seed / seed)</t>
  </si>
  <si>
    <t xml:space="preserve">Varies (NL venture-track startups)</t>
  </si>
  <si>
    <t xml:space="preserve">NL tech; sector fit (verify for SaaS)</t>
  </si>
  <si>
    <t xml:space="preserve">https://nventure.ca</t>
  </si>
  <si>
    <t xml:space="preserve">Ontario Centre of Innovation</t>
  </si>
  <si>
    <t xml:space="preserve">Grants, Vouchers</t>
  </si>
  <si>
    <t xml:space="preserve">$20,000 to $250,000 (Ontario)</t>
  </si>
  <si>
    <t xml:space="preserve">Startup through growth (Ontario)</t>
  </si>
  <si>
    <t xml:space="preserve">https://www.oc-innovation.ca</t>
  </si>
  <si>
    <t xml:space="preserve">Panache Ventures</t>
  </si>
  <si>
    <t xml:space="preserve">$250,000 to $1,000,000</t>
  </si>
  <si>
    <t xml:space="preserve">Pre-seed</t>
  </si>
  <si>
    <t xml:space="preserve">https://www.panache.vc</t>
  </si>
  <si>
    <t xml:space="preserve">Pelorus Venture Capital</t>
  </si>
  <si>
    <t xml:space="preserve">Venture Capital (Atlantic focus)</t>
  </si>
  <si>
    <t xml:space="preserve">$250,000 to $2,000,000</t>
  </si>
  <si>
    <t xml:space="preserve">Pre-seed / seed vertical SaaS (direct fit)</t>
  </si>
  <si>
    <t xml:space="preserve">https://www.pelorusvc.com</t>
  </si>
  <si>
    <t xml:space="preserve">Relay Ventures</t>
  </si>
  <si>
    <t xml:space="preserve">$1,000,000 to $10,000,000</t>
  </si>
  <si>
    <t xml:space="preserve">Seed, Series A (restaurant/hospitality tech fit)</t>
  </si>
  <si>
    <t xml:space="preserve">https://www.relayventures.com</t>
  </si>
  <si>
    <t xml:space="preserve">Directory Summary</t>
  </si>
  <si>
    <t xml:space="preserve">Category</t>
  </si>
  <si>
    <t xml:space="preserve">Sources</t>
  </si>
  <si>
    <t xml:space="preserve">Grants &amp; Tax Credits</t>
  </si>
  <si>
    <t xml:space="preserve">Loans &amp; Debt</t>
  </si>
  <si>
    <t xml:space="preserve">Angel Networks</t>
  </si>
  <si>
    <t xml:space="preserve">Startup Programs</t>
  </si>
  <si>
    <t xml:space="preserve">Industry &amp; Other</t>
  </si>
  <si>
    <t xml:space="preserve">Atlantic Canada &amp; Newfoundland</t>
  </si>
  <si>
    <t xml:space="preserve">TOTAL</t>
  </si>
  <si>
    <t xml:space="preserve">Industrial Research Assistance Program Youth Employment</t>
  </si>
  <si>
    <t xml:space="preserve">Wage subsidy</t>
  </si>
  <si>
    <t xml:space="preserve">Up to $30,000 (75% of salary, 6 to 12 months)</t>
  </si>
  <si>
    <t xml:space="preserve">Pre-revenue okay; may require 5+ employees (verify)</t>
  </si>
  <si>
    <t xml:space="preserve">Rebate</t>
  </si>
  <si>
    <t xml:space="preserve">https://nrc.canada.ca/en/support-technology-innovation/nrc-irap-funding-hire-young-graduates</t>
  </si>
  <si>
    <t xml:space="preserve">Scientific Research and Experimental Development Tax Credit</t>
  </si>
  <si>
    <t xml:space="preserve">Refundable Tax Credit</t>
  </si>
  <si>
    <t xml:space="preserve">35% refundable on up to $6M expenditure (Budget 2025)</t>
  </si>
  <si>
    <t xml:space="preserve">Pre-revenue okay; must be CCPC</t>
  </si>
  <si>
    <t xml:space="preserve">Tax Credit</t>
  </si>
  <si>
    <t xml:space="preserve">https://www.canada.ca/en/revenue-agency/services/scientific-research-experimental-development-tax-incentive-program.html</t>
  </si>
  <si>
    <t xml:space="preserve">Canada Summer Jobs</t>
  </si>
  <si>
    <t xml:space="preserve">50% of provincial minimum wage, 6 to 16 weeks</t>
  </si>
  <si>
    <t xml:space="preserve">Pre-revenue okay; hire age 15 to 30</t>
  </si>
  <si>
    <t xml:space="preserve">https://www.canada.ca/en/employment-social-development/services/funding/canada-summer-jobs.html</t>
  </si>
  <si>
    <t xml:space="preserve">Mitacs Accelerate</t>
  </si>
  <si>
    <t xml:space="preserve">Grant, cost-share</t>
  </si>
  <si>
    <t xml:space="preserve">$7,500 partner contribution per 4-month intern ($15,000 total)</t>
  </si>
  <si>
    <t xml:space="preserve">Pre-revenue okay; requires university research partner</t>
  </si>
  <si>
    <t xml:space="preserve">https://www.mitacs.ca/our-programs/accelerate/</t>
  </si>
  <si>
    <t xml:space="preserve">Ontario Innovation Tax Credit</t>
  </si>
  <si>
    <t xml:space="preserve">8% on qualifying research (Ontario)</t>
  </si>
  <si>
    <t xml:space="preserve">Any with research (Ontario)</t>
  </si>
  <si>
    <t xml:space="preserve">https://www.ontario.ca/page/ontario-innovation-tax-credit</t>
  </si>
  <si>
    <t xml:space="preserve">Ontario Interactive Digital Media Tax Credit</t>
  </si>
  <si>
    <t xml:space="preserve">35 to 40% on eligible labor</t>
  </si>
  <si>
    <t xml:space="preserve">Any developing digital media (Ontario)</t>
  </si>
  <si>
    <t xml:space="preserve">https://www.ontario.ca/page/ontario-interactive-digital-media-tax-credit</t>
  </si>
  <si>
    <t xml:space="preserve">Venture for Canada Internship Program</t>
  </si>
  <si>
    <t xml:space="preserve">Up to $7,000 per intern + training</t>
  </si>
  <si>
    <t xml:space="preserve">Pre-revenue okay; under 500 employees</t>
  </si>
  <si>
    <t xml:space="preserve">https://ventureforcanada.ca/programs/internship-program</t>
  </si>
  <si>
    <t xml:space="preserve">CanExport Small and Medium Enterprises</t>
  </si>
  <si>
    <t xml:space="preserve">Up to $50,000 per year</t>
  </si>
  <si>
    <t xml:space="preserve">Revenue-generating, export-ready</t>
  </si>
  <si>
    <t xml:space="preserve">MEDIUM</t>
  </si>
  <si>
    <t xml:space="preserve">https://www.tradecommissioner.gc.ca/funding-financement/canexport/sme-pme/index.aspx</t>
  </si>
  <si>
    <t xml:space="preserve">Canada Digital Adoption Program</t>
  </si>
  <si>
    <t xml:space="preserve">Grant + zero-interest Loan</t>
  </si>
  <si>
    <t xml:space="preserve">$15,000 + up to $100,000</t>
  </si>
  <si>
    <t xml:space="preserve">Revenue-generating (~$500,000+)</t>
  </si>
  <si>
    <t xml:space="preserve">https://ised-isde.canada.ca/site/canada-digital-adoption-program/en</t>
  </si>
  <si>
    <t xml:space="preserve">Federal Economic Development Agency for Southern Ontario Business Scale-Up</t>
  </si>
  <si>
    <t xml:space="preserve">Repayable contribution, interest-free</t>
  </si>
  <si>
    <t xml:space="preserve">$500,000 to $10,000,000</t>
  </si>
  <si>
    <t xml:space="preserve">Post-revenue scale-up (Southern Ontario)</t>
  </si>
  <si>
    <t xml:space="preserve">https://feddev-ontario.canada.ca</t>
  </si>
  <si>
    <t xml:space="preserve">Ontario Research and Development Tax Credit</t>
  </si>
  <si>
    <t xml:space="preserve">Non-refundable Tax Credit</t>
  </si>
  <si>
    <t xml:space="preserve">3.5% on eligible research (Ontario)</t>
  </si>
  <si>
    <t xml:space="preserve">Needs Ontario corporate tax owing</t>
  </si>
  <si>
    <t xml:space="preserve">https://www.ontario.ca/page/corporations-tax-credits</t>
  </si>
  <si>
    <t xml:space="preserve">Digital Main Street Digital Transformation Grant</t>
  </si>
  <si>
    <t xml:space="preserve">Grant</t>
  </si>
  <si>
    <t xml:space="preserve">~$2,500 (Ontario)</t>
  </si>
  <si>
    <t xml:space="preserve">Small business (1 to 10 employees)</t>
  </si>
  <si>
    <t xml:space="preserve">LOW</t>
  </si>
  <si>
    <t xml:space="preserve">https://digitalmainstreet.ca</t>
  </si>
  <si>
    <t xml:space="preserve">Starter Company Plus (Ontario)</t>
  </si>
  <si>
    <t xml:space="preserve">Grant + Training</t>
  </si>
  <si>
    <t xml:space="preserve">Up to $5,000 micro-grant</t>
  </si>
  <si>
    <t xml:space="preserve">Idea or pre-launch (18+); Ontario residents ONLY</t>
  </si>
  <si>
    <t xml:space="preserve">https://www.ontario.ca/page/starter-company-plus</t>
  </si>
  <si>
    <t xml:space="preserve">Strategic Innovation Fund</t>
  </si>
  <si>
    <t xml:space="preserve">Grant, Repayable contribution</t>
  </si>
  <si>
    <t xml:space="preserve">$10,000,000+</t>
  </si>
  <si>
    <t xml:space="preserve">Scale-up, later stage</t>
  </si>
  <si>
    <t xml:space="preserve">https://ised-isde.canada.ca/site/strategic-innovation-fund/en</t>
  </si>
  <si>
    <t xml:space="preserve">BDC Start-up Financing Program</t>
  </si>
  <si>
    <t xml:space="preserve">Up to $250,000</t>
  </si>
  <si>
    <t xml:space="preserve">Requires 1+ year in business</t>
  </si>
  <si>
    <t xml:space="preserve">https://www.bdc.ca</t>
  </si>
  <si>
    <t xml:space="preserve">Business Development Bank of Canada Small Business Loan</t>
  </si>
  <si>
    <t xml:space="preserve">Up to $100,000 online</t>
  </si>
  <si>
    <t xml:space="preserve">Requires 2 years operational (pre-revenue via Futurpreneur only)</t>
  </si>
  <si>
    <t xml:space="preserve">https://www.bdc.ca/en/financing/small-business-loan</t>
  </si>
  <si>
    <t xml:space="preserve">Business Development Bank of Canada Technology Financing</t>
  </si>
  <si>
    <t xml:space="preserve">$150,000 to $5,000,000+</t>
  </si>
  <si>
    <t xml:space="preserve">Revenue-generating tech company</t>
  </si>
  <si>
    <t xml:space="preserve">https://www.bdc.ca/en/financing/business-loans/technology-financing</t>
  </si>
  <si>
    <t xml:space="preserve">Community Futures Ontario</t>
  </si>
  <si>
    <t xml:space="preserve">Rural Ontario only</t>
  </si>
  <si>
    <t xml:space="preserve">https://communityfuturesontario.ca</t>
  </si>
  <si>
    <t xml:space="preserve">Export Development Canada</t>
  </si>
  <si>
    <t xml:space="preserve">Loan, Guarantee, Insurance</t>
  </si>
  <si>
    <t xml:space="preserve">Varies</t>
  </si>
  <si>
    <t xml:space="preserve">Companies with export activity</t>
  </si>
  <si>
    <t xml:space="preserve">https://www.edc.ca</t>
  </si>
  <si>
    <t xml:space="preserve">Equation Angels (Waterloo)</t>
  </si>
  <si>
    <t xml:space="preserve">$50,000 to $500,000</t>
  </si>
  <si>
    <t xml:space="preserve">https://equationangels.com</t>
  </si>
  <si>
    <t xml:space="preserve">Golden Triangle Angel Network (Waterloo, Guelph)</t>
  </si>
  <si>
    <t xml:space="preserve">$100,000 to $750,000</t>
  </si>
  <si>
    <t xml:space="preserve">https://www.gtan.ca</t>
  </si>
  <si>
    <t xml:space="preserve">Keiretsu Forum Canada</t>
  </si>
  <si>
    <t xml:space="preserve">Global Angel Network</t>
  </si>
  <si>
    <t xml:space="preserve">Seed, Series A</t>
  </si>
  <si>
    <t xml:space="preserve">https://www.keiretsuforum.com</t>
  </si>
  <si>
    <t xml:space="preserve">York Angel Investors</t>
  </si>
  <si>
    <t xml:space="preserve">https://www.yorkangels.com</t>
  </si>
  <si>
    <t xml:space="preserve">BKR Capital</t>
  </si>
  <si>
    <t xml:space="preserve">https://bkrcapital.com</t>
  </si>
  <si>
    <t xml:space="preserve">BrightSpark Ventures</t>
  </si>
  <si>
    <t xml:space="preserve">$1,000,000 to $5,000,000</t>
  </si>
  <si>
    <t xml:space="preserve">https://www.brightspark.com</t>
  </si>
  <si>
    <t xml:space="preserve">Dream Maker Ventures</t>
  </si>
  <si>
    <t xml:space="preserve">$50,000 to $1,000,000</t>
  </si>
  <si>
    <t xml:space="preserve">https://dreammakerventures.com</t>
  </si>
  <si>
    <t xml:space="preserve">Extreme Venture Partners</t>
  </si>
  <si>
    <t xml:space="preserve">$500,000 to $3,000,000</t>
  </si>
  <si>
    <t xml:space="preserve">https://extremevp.com</t>
  </si>
  <si>
    <t xml:space="preserve">Framework Venture Partners</t>
  </si>
  <si>
    <t xml:space="preserve">https://frameworkvc.com</t>
  </si>
  <si>
    <t xml:space="preserve">Golden Ventures</t>
  </si>
  <si>
    <t xml:space="preserve">$500,000 to $2,000,000</t>
  </si>
  <si>
    <t xml:space="preserve">Seed</t>
  </si>
  <si>
    <t xml:space="preserve">https://golden.ventures</t>
  </si>
  <si>
    <t xml:space="preserve">Inovia Capital</t>
  </si>
  <si>
    <t xml:space="preserve">$500,000 to $25,000,000+</t>
  </si>
  <si>
    <t xml:space="preserve">Seed, Series A, Growth</t>
  </si>
  <si>
    <t xml:space="preserve">https://inovia.vc</t>
  </si>
  <si>
    <t xml:space="preserve">Real Ventures</t>
  </si>
  <si>
    <t xml:space="preserve">https://realventures.com</t>
  </si>
  <si>
    <t xml:space="preserve">Ripple Ventures</t>
  </si>
  <si>
    <t xml:space="preserve">https://www.rippleventures.com</t>
  </si>
  <si>
    <t xml:space="preserve">Two Small Fish Ventures</t>
  </si>
  <si>
    <t xml:space="preserve">https://twosmallfish.vc</t>
  </si>
  <si>
    <t xml:space="preserve">Version One Ventures</t>
  </si>
  <si>
    <t xml:space="preserve">https://versionone.vc</t>
  </si>
  <si>
    <t xml:space="preserve">OMERS Ventures</t>
  </si>
  <si>
    <t xml:space="preserve">Pension-Backed Venture Capital</t>
  </si>
  <si>
    <t xml:space="preserve">$5,000,000 to $25,000,000+</t>
  </si>
  <si>
    <t xml:space="preserve">Series A, Series B</t>
  </si>
  <si>
    <t xml:space="preserve">https://omersventures.com</t>
  </si>
  <si>
    <t xml:space="preserve">Round13 Capital</t>
  </si>
  <si>
    <t xml:space="preserve">$2,000,000 to $10,000,000</t>
  </si>
  <si>
    <t xml:space="preserve">Series A, Growth</t>
  </si>
  <si>
    <t xml:space="preserve">https://round13.com</t>
  </si>
  <si>
    <t xml:space="preserve">TELUS Ventures</t>
  </si>
  <si>
    <t xml:space="preserve">Corporate Venture Capital</t>
  </si>
  <si>
    <t xml:space="preserve">https://www.telusventures.com</t>
  </si>
  <si>
    <t xml:space="preserve">Velocity (University of Waterloo)</t>
  </si>
  <si>
    <t xml:space="preserve">Incubator</t>
  </si>
  <si>
    <t xml:space="preserve">Advisory + Velocity Fund pitch grants ($25K to $50K)</t>
  </si>
  <si>
    <t xml:space="preserve">Student-founded, early</t>
  </si>
  <si>
    <t xml:space="preserve">Advisory</t>
  </si>
  <si>
    <t xml:space="preserve">https://www.velocityincubator.com</t>
  </si>
  <si>
    <t xml:space="preserve">Communitech (Waterloo)</t>
  </si>
  <si>
    <t xml:space="preserve">Incubator + Accelerator</t>
  </si>
  <si>
    <t xml:space="preserve">Advisory + IP services (ElevateIP)</t>
  </si>
  <si>
    <t xml:space="preserve">Pre-revenue welcome; Waterloo/ON-centric</t>
  </si>
  <si>
    <t xml:space="preserve">https://www.communitech.ca</t>
  </si>
  <si>
    <t xml:space="preserve">Creative Destruction Lab</t>
  </si>
  <si>
    <t xml:space="preserve">Accelerator</t>
  </si>
  <si>
    <t xml:space="preserve">Advisory + mentor capital</t>
  </si>
  <si>
    <t xml:space="preserve">Seed stage with tech</t>
  </si>
  <si>
    <t xml:space="preserve">https://www.creativedestructionlab.com</t>
  </si>
  <si>
    <t xml:space="preserve">DMZ (Toronto Metropolitan University)</t>
  </si>
  <si>
    <t xml:space="preserve">Accelerator, Incubator</t>
  </si>
  <si>
    <t xml:space="preserve">In-kind services; takes 2 to 2.5% equity</t>
  </si>
  <si>
    <t xml:space="preserve">Pre-revenue; Toronto geography required</t>
  </si>
  <si>
    <t xml:space="preserve">https://dmz.torontomu.ca</t>
  </si>
  <si>
    <t xml:space="preserve">FounderFuel</t>
  </si>
  <si>
    <t xml:space="preserve">~$200,000 + services</t>
  </si>
  <si>
    <t xml:space="preserve">https://founderfuel.com</t>
  </si>
  <si>
    <t xml:space="preserve">MaRS Discovery District</t>
  </si>
  <si>
    <t xml:space="preserve">Incubator + Advisory</t>
  </si>
  <si>
    <t xml:space="preserve">Free advisory (flagship Capital Program requires MVP)</t>
  </si>
  <si>
    <t xml:space="preserve">Pre-revenue membership okay; flagship needs validation</t>
  </si>
  <si>
    <t xml:space="preserve">https://www.marsdd.com</t>
  </si>
  <si>
    <t xml:space="preserve">Next Canada</t>
  </si>
  <si>
    <t xml:space="preserve">Accelerator + Community</t>
  </si>
  <si>
    <t xml:space="preserve">Advisory + pitch competitions</t>
  </si>
  <si>
    <t xml:space="preserve">Early, growth</t>
  </si>
  <si>
    <t xml:space="preserve">https://nextcanada.com</t>
  </si>
  <si>
    <t xml:space="preserve">Techstars Toronto</t>
  </si>
  <si>
    <t xml:space="preserve">$20,000 grant + $100,000 convertible</t>
  </si>
  <si>
    <t xml:space="preserve">https://www.techstars.com</t>
  </si>
  <si>
    <t xml:space="preserve">Y Combinator</t>
  </si>
  <si>
    <t xml:space="preserve">$500,000</t>
  </si>
  <si>
    <t xml:space="preserve">Any (~1% acceptance)</t>
  </si>
  <si>
    <t xml:space="preserve">https://www.ycombinator.com</t>
  </si>
  <si>
    <t xml:space="preserve">AngelList Syndicates</t>
  </si>
  <si>
    <t xml:space="preserve">Syndicate Platform</t>
  </si>
  <si>
    <t xml:space="preserve">https://www.angellist.com</t>
  </si>
  <si>
    <t xml:space="preserve">FrontFundr</t>
  </si>
  <si>
    <t xml:space="preserve">Equity Crowdfunding Platform</t>
  </si>
  <si>
    <t xml:space="preserve">$250,000 to $5,000,000</t>
  </si>
  <si>
    <t xml:space="preserve">https://www.frontfundr.com</t>
  </si>
  <si>
    <t xml:space="preserve">Restaurants Canada</t>
  </si>
  <si>
    <t xml:space="preserve">Industry Association</t>
  </si>
  <si>
    <t xml:space="preserve">Member resources</t>
  </si>
  <si>
    <t xml:space="preserve">Any stage</t>
  </si>
  <si>
    <t xml:space="preserve">https://www.restaurantscanada.org</t>
  </si>
  <si>
    <t xml:space="preserve">Kickstarter, Indiegogo</t>
  </si>
  <si>
    <t xml:space="preserve">Rewards Crowdfunding</t>
  </si>
  <si>
    <t xml:space="preserve">$5,000 to $500,000</t>
  </si>
  <si>
    <t xml:space="preserve">Consumer, product launches</t>
  </si>
  <si>
    <t xml:space="preserve">https://www.kickstarter.com</t>
  </si>
  <si>
    <t xml:space="preserve">Simon Squibb HelpBnk</t>
  </si>
  <si>
    <t xml:space="preserve">Community Platform, Sporadic Giveaways</t>
  </si>
  <si>
    <t xml:space="preserve">Varies; not structured funding</t>
  </si>
  <si>
    <t xml:space="preserve">Any (social media visibility play)</t>
  </si>
  <si>
    <t xml:space="preserve">https://helpbnk.com</t>
  </si>
  <si>
    <t xml:space="preserve">Tourism Growth Program</t>
  </si>
  <si>
    <t xml:space="preserve">Grant, Contribution</t>
  </si>
  <si>
    <t xml:space="preserve">Hospitality sector growth</t>
  </si>
  <si>
    <t xml:space="preserve">https://ised-isde.canada.ca/site/tourism-growth-program/en</t>
  </si>
  <si>
    <t xml:space="preserve">Genesis Centre (Memorial University, St. John's)</t>
  </si>
  <si>
    <t xml:space="preserve">Advisory + connections</t>
  </si>
  <si>
    <t xml:space="preserve">Pre-revenue NL tech</t>
  </si>
  <si>
    <t xml:space="preserve">https://www.genesiscentre.ca</t>
  </si>
  <si>
    <t xml:space="preserve">Newfoundland and Labrador Organization of Women Entrepreneurs (NLOWE)</t>
  </si>
  <si>
    <t xml:space="preserve">Resource Organization + WEOC Loan Delivery</t>
  </si>
  <si>
    <t xml:space="preserve">Free advisory + up to $50K WEOC loan</t>
  </si>
  <si>
    <t xml:space="preserve">Reached Out</t>
  </si>
  <si>
    <t xml:space="preserve">https://nlowe.org</t>
  </si>
  <si>
    <t xml:space="preserve">JobsNL Wage Subsidy Program</t>
  </si>
  <si>
    <t xml:space="preserve">~$13,000 to $14,000 per employee (JobsNL-42)</t>
  </si>
  <si>
    <t xml:space="preserve">Pre-revenue NL-registered hire</t>
  </si>
  <si>
    <t xml:space="preserve">https://www.gov.nl.ca/ipgs/empservices/jobsnl/</t>
  </si>
  <si>
    <t xml:space="preserve">Propel ICT (Atlantic Canadian Accelerator)</t>
  </si>
  <si>
    <t xml:space="preserve">Atlantic tech (remote cohorts)</t>
  </si>
  <si>
    <t xml:space="preserve">https://propelict.com</t>
  </si>
  <si>
    <t xml:space="preserve">Volta (Halifax)</t>
  </si>
  <si>
    <t xml:space="preserve">Incubator, Community</t>
  </si>
  <si>
    <t xml:space="preserve">Membership + mentors</t>
  </si>
  <si>
    <t xml:space="preserve">Atlantic tech</t>
  </si>
  <si>
    <t xml:space="preserve">https://voltaeffect.com</t>
  </si>
  <si>
    <t xml:space="preserve">Nova Scotia Innovation Equity Tax Credit</t>
  </si>
  <si>
    <t xml:space="preserve">Tax Credit (for investors)</t>
  </si>
  <si>
    <t xml:space="preserve">35% non-refundable to NS investors in qualifying NS businesses</t>
  </si>
  <si>
    <t xml:space="preserve">Helps attract angel capital (NS-registered)</t>
  </si>
  <si>
    <t xml:space="preserve">https://novascotia.ca/finance/en/home/taxation/tax101/businesstax/investmenttaxcredits.aspx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</si>
</sst>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ptos Narrow"/>
      <family val="0"/>
      <charset val="1"/>
    </font>
    <font>
      <b val="true"/>
      <sz val="14"/>
      <color rgb="FFFFFFFF"/>
      <name val="Aptos Narrow"/>
      <family val="0"/>
      <charset val="1"/>
    </font>
    <font>
      <b val="true"/>
      <sz val="12"/>
      <color rgb="FFFFFFFF"/>
      <name val="Aptos Narrow"/>
      <family val="0"/>
      <charset val="1"/>
    </font>
    <font>
      <b val="true"/>
      <sz val="11"/>
      <color rgb="FFFFFFFF"/>
      <name val="Aptos Narrow"/>
      <family val="0"/>
      <charset val="1"/>
    </font>
    <font>
      <b val="true"/>
      <sz val="11"/>
      <color rgb="FF1B5E20"/>
      <name val="Aptos Narrow"/>
      <family val="0"/>
      <charset val="1"/>
    </font>
    <font>
      <b val="true"/>
      <sz val="11"/>
      <color rgb="FF2F2F2F"/>
      <name val="Aptos Narrow"/>
      <family val="0"/>
      <charset val="1"/>
    </font>
    <font>
      <b val="true"/>
      <sz val="11"/>
      <color rgb="FFEE5F3F"/>
      <name val="Aptos Narrow"/>
      <family val="0"/>
      <charset val="1"/>
    </font>
    <font>
      <b val="true"/>
      <sz val="11"/>
      <color rgb="FFBF360C"/>
      <name val="Aptos Narrow"/>
      <family val="0"/>
      <charset val="1"/>
    </font>
    <font>
      <b val="true"/>
      <sz val="11"/>
      <color rgb="FF1C3E7C"/>
      <name val="Aptos Narrow"/>
      <family val="0"/>
      <charset val="1"/>
    </font>
    <font>
      <b val="true"/>
      <sz val="11"/>
      <color rgb="FF4A148C"/>
      <name val="Aptos Narrow"/>
      <family val="0"/>
      <charset val="1"/>
    </font>
    <font>
      <b val="true"/>
      <sz val="11"/>
      <color rgb="FF424242"/>
      <name val="Aptos Narrow"/>
      <family val="0"/>
      <charset val="1"/>
    </font>
    <font>
      <b val="true"/>
      <sz val="10"/>
      <color rgb="FF2F2F2F"/>
      <name val="Aptos Narrow"/>
      <family val="0"/>
      <charset val="1"/>
    </font>
    <font>
      <sz val="10"/>
      <color rgb="FF2F2F2F"/>
      <name val="Aptos Narrow"/>
      <family val="0"/>
      <charset val="1"/>
    </font>
    <font>
      <i val="true"/>
      <sz val="10"/>
      <color rgb="FF424242"/>
      <name val="Aptos Narrow"/>
      <family val="0"/>
      <charset val="1"/>
    </font>
    <font>
      <u val="single"/>
      <sz val="9"/>
      <color rgb="FF0070C0"/>
      <name val="Aptos Narrow"/>
      <family val="0"/>
      <charset val="1"/>
    </font>
    <font>
      <sz val="11"/>
      <color rgb="FF2F2F2F"/>
      <name val="Aptos Narrow"/>
      <family val="0"/>
      <charset val="1"/>
    </font>
    <font>
      <b val="true"/>
      <sz val="18"/>
      <color rgb="FFFFFFFF"/>
      <name val="Aptos Narro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C3E7C"/>
        <bgColor rgb="FF003366"/>
      </patternFill>
    </fill>
    <fill>
      <patternFill patternType="solid">
        <fgColor rgb="FFEE5F3F"/>
        <bgColor rgb="FFFF8080"/>
      </patternFill>
    </fill>
    <fill>
      <patternFill patternType="solid">
        <fgColor rgb="FFD4EDD4"/>
        <bgColor rgb="FFD6EEF7"/>
      </patternFill>
    </fill>
    <fill>
      <patternFill patternType="solid">
        <fgColor rgb="FFEEEEEE"/>
        <bgColor rgb="FFF7F7F7"/>
      </patternFill>
    </fill>
    <fill>
      <patternFill patternType="solid">
        <fgColor rgb="FFFCE7D6"/>
        <bgColor rgb="FFEEEEEE"/>
      </patternFill>
    </fill>
    <fill>
      <patternFill patternType="solid">
        <fgColor rgb="FFFFE0B2"/>
        <bgColor rgb="FFFCE7D6"/>
      </patternFill>
    </fill>
    <fill>
      <patternFill patternType="solid">
        <fgColor rgb="FFD6EEF7"/>
        <bgColor rgb="FFD4EDD4"/>
      </patternFill>
    </fill>
    <fill>
      <patternFill patternType="solid">
        <fgColor rgb="FFE1BEE7"/>
        <bgColor rgb="FFDCDCDC"/>
      </patternFill>
    </fill>
    <fill>
      <patternFill patternType="solid">
        <fgColor rgb="FFDCDCDC"/>
        <bgColor rgb="FFD4EDD4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F2F2F"/>
      </left>
      <right style="medium">
        <color rgb="FF2F2F2F"/>
      </right>
      <top style="medium">
        <color rgb="FF2F2F2F"/>
      </top>
      <bottom style="medium">
        <color rgb="FF2F2F2F"/>
      </bottom>
      <diagonal/>
    </border>
    <border diagonalUp="false" diagonalDown="false"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  <diagonal/>
    </border>
    <border diagonalUp="false" diagonalDown="false"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1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ont>
        <name val="Aptos Narrow"/>
        <charset val="1"/>
        <family val="0"/>
        <b val="1"/>
        <color rgb="FF1C3E7C"/>
        <sz val="11"/>
      </font>
      <fill>
        <patternFill>
          <bgColor rgb="FFD6EEF7"/>
        </patternFill>
      </fill>
    </dxf>
    <dxf>
      <font>
        <name val="Aptos Narrow"/>
        <charset val="1"/>
        <family val="0"/>
        <b val="1"/>
        <color rgb="FFEE5F3F"/>
        <sz val="11"/>
      </font>
      <fill>
        <patternFill>
          <bgColor rgb="FFFCE7D6"/>
        </patternFill>
      </fill>
    </dxf>
    <dxf>
      <font>
        <name val="Aptos Narrow"/>
        <charset val="1"/>
        <family val="0"/>
        <b val="1"/>
        <color rgb="FF1B5E20"/>
        <sz val="11"/>
      </font>
      <fill>
        <patternFill>
          <bgColor rgb="FFD4EDD4"/>
        </patternFill>
      </fill>
    </dxf>
    <dxf>
      <font>
        <name val="Aptos Narrow"/>
        <charset val="1"/>
        <family val="0"/>
        <b val="1"/>
        <color rgb="FF424242"/>
        <sz val="11"/>
      </font>
      <fill>
        <patternFill>
          <bgColor rgb="FFEEEEEE"/>
        </patternFill>
      </fill>
    </dxf>
    <dxf>
      <fill>
        <patternFill patternType="solid">
          <fgColor rgb="FF1C3E7C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2F2F"/>
          <bgColor rgb="FF000000"/>
        </patternFill>
      </fill>
    </dxf>
    <dxf>
      <fill>
        <patternFill patternType="solid">
          <fgColor rgb="FFD6EEF7"/>
          <bgColor rgb="FF000000"/>
        </patternFill>
      </fill>
    </dxf>
    <dxf>
      <fill>
        <patternFill patternType="solid">
          <fgColor rgb="FFEE5F3F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CE7D6"/>
          <bgColor rgb="FF000000"/>
        </patternFill>
      </fill>
    </dxf>
    <dxf>
      <fill>
        <patternFill patternType="solid">
          <fgColor rgb="FFD4EDD4"/>
          <bgColor rgb="FF000000"/>
        </patternFill>
      </fill>
    </dxf>
    <dxf>
      <fill>
        <patternFill patternType="solid">
          <fgColor rgb="FFE1BEE7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4A148C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424242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DCDCD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DCDCDC"/>
      <rgbColor rgb="FF808080"/>
      <rgbColor rgb="FF9999FF"/>
      <rgbColor rgb="FF993366"/>
      <rgbColor rgb="FFF7F7F7"/>
      <rgbColor rgb="FFD6EEF7"/>
      <rgbColor rgb="FF4A148C"/>
      <rgbColor rgb="FFFF8080"/>
      <rgbColor rgb="FF0070C0"/>
      <rgbColor rgb="FFE1B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4EDD4"/>
      <rgbColor rgb="FFFCE7D6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EE5F3F"/>
      <rgbColor rgb="FF666699"/>
      <rgbColor rgb="FF9E9E9E"/>
      <rgbColor rgb="FF003366"/>
      <rgbColor rgb="FF339966"/>
      <rgbColor rgb="FF003300"/>
      <rgbColor rgb="FF424242"/>
      <rgbColor rgb="FFBF360C"/>
      <rgbColor rgb="FF993366"/>
      <rgbColor rgb="FF1C3E7C"/>
      <rgbColor rgb="FF2F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anada.ca/en/atlantic-canada-opportunities/services/business-development-program.html" TargetMode="External"/><Relationship Id="rId2" Type="http://schemas.openxmlformats.org/officeDocument/2006/relationships/hyperlink" Target="https://www.bdc.ca/en/i-am/newcomer-entrepreneur" TargetMode="External"/><Relationship Id="rId3" Type="http://schemas.openxmlformats.org/officeDocument/2006/relationships/hyperlink" Target="https://ised-isde.canada.ca/site/innovative-solutions-canada/en" TargetMode="External"/><Relationship Id="rId4" Type="http://schemas.openxmlformats.org/officeDocument/2006/relationships/hyperlink" Target="https://futurpreneur.ca/en/eligibility/" TargetMode="External"/><Relationship Id="rId5" Type="http://schemas.openxmlformats.org/officeDocument/2006/relationships/hyperlink" Target="https://nrc.canada.ca/en/support-technology-innovation/financial-support-technology-innovation" TargetMode="External"/><Relationship Id="rId6" Type="http://schemas.openxmlformats.org/officeDocument/2006/relationships/hyperlink" Target="https://www.gov.nl.ca/iet/funding/" TargetMode="External"/><Relationship Id="rId7" Type="http://schemas.openxmlformats.org/officeDocument/2006/relationships/hyperlink" Target="https://nventure.ca/about" TargetMode="External"/><Relationship Id="rId8" Type="http://schemas.openxmlformats.org/officeDocument/2006/relationships/hyperlink" Target="https://weoc.ca/loan-program/" TargetMode="External"/><Relationship Id="rId9" Type="http://schemas.openxmlformats.org/officeDocument/2006/relationships/hyperlink" Target="https://ised-isde.canada.ca/site/ised/en/programs-and-initiatives/women-entrepreneurship-strategy" TargetMode="External"/><Relationship Id="rId10" Type="http://schemas.openxmlformats.org/officeDocument/2006/relationships/hyperlink" Target="https://www.angelonenetwork.ca/" TargetMode="External"/><Relationship Id="rId11" Type="http://schemas.openxmlformats.org/officeDocument/2006/relationships/hyperlink" Target="https://www.gov.nl.ca/iet/funding/" TargetMode="External"/><Relationship Id="rId12" Type="http://schemas.openxmlformats.org/officeDocument/2006/relationships/hyperlink" Target="https://ised-isde.canada.ca/site/canada-small-business-financing-program/en" TargetMode="External"/><Relationship Id="rId13" Type="http://schemas.openxmlformats.org/officeDocument/2006/relationships/hyperlink" Target="https://www.cbdc.ca/en/programs" TargetMode="External"/><Relationship Id="rId14" Type="http://schemas.openxmlformats.org/officeDocument/2006/relationships/hyperlink" Target="https://garage.co/" TargetMode="External"/><Relationship Id="rId15" Type="http://schemas.openxmlformats.org/officeDocument/2006/relationships/hyperlink" Target="https://killickcapital.com/" TargetMode="External"/><Relationship Id="rId16" Type="http://schemas.openxmlformats.org/officeDocument/2006/relationships/hyperlink" Target="https://www.mapleleafangels.com/" TargetMode="External"/><Relationship Id="rId17" Type="http://schemas.openxmlformats.org/officeDocument/2006/relationships/hyperlink" Target="https://www.mbobusiness.ca/lending" TargetMode="External"/><Relationship Id="rId18" Type="http://schemas.openxmlformats.org/officeDocument/2006/relationships/hyperlink" Target="https://www.nacocanada.com/" TargetMode="External"/><Relationship Id="rId19" Type="http://schemas.openxmlformats.org/officeDocument/2006/relationships/hyperlink" Target="https://nbif.ca/" TargetMode="External"/><Relationship Id="rId20" Type="http://schemas.openxmlformats.org/officeDocument/2006/relationships/hyperlink" Target="https://nventure.ca/" TargetMode="External"/><Relationship Id="rId21" Type="http://schemas.openxmlformats.org/officeDocument/2006/relationships/hyperlink" Target="https://www.oc-innovation.ca/" TargetMode="External"/><Relationship Id="rId22" Type="http://schemas.openxmlformats.org/officeDocument/2006/relationships/hyperlink" Target="https://www.panache.vc/" TargetMode="External"/><Relationship Id="rId23" Type="http://schemas.openxmlformats.org/officeDocument/2006/relationships/hyperlink" Target="https://www.pelorusvc.com/" TargetMode="External"/><Relationship Id="rId24" Type="http://schemas.openxmlformats.org/officeDocument/2006/relationships/hyperlink" Target="https://www.relayventures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sed-isde.canada.ca/site/innovative-solutions-canada/en" TargetMode="External"/><Relationship Id="rId2" Type="http://schemas.openxmlformats.org/officeDocument/2006/relationships/hyperlink" Target="https://nrc.canada.ca/en/support-technology-innovation/financial-support-technology-innovation" TargetMode="External"/><Relationship Id="rId3" Type="http://schemas.openxmlformats.org/officeDocument/2006/relationships/hyperlink" Target="https://nrc.canada.ca/en/support-technology-innovation/nrc-irap-funding-hire-young-graduates" TargetMode="External"/><Relationship Id="rId4" Type="http://schemas.openxmlformats.org/officeDocument/2006/relationships/hyperlink" Target="https://www.canada.ca/en/revenue-agency/services/scientific-research-experimental-development-tax-incentive-program.html" TargetMode="External"/><Relationship Id="rId5" Type="http://schemas.openxmlformats.org/officeDocument/2006/relationships/hyperlink" Target="https://ised-isde.canada.ca/site/ised/en/programs-and-initiatives/women-entrepreneurship-strategy" TargetMode="External"/><Relationship Id="rId6" Type="http://schemas.openxmlformats.org/officeDocument/2006/relationships/hyperlink" Target="https://www.canada.ca/en/employment-social-development/services/funding/canada-summer-jobs.html" TargetMode="External"/><Relationship Id="rId7" Type="http://schemas.openxmlformats.org/officeDocument/2006/relationships/hyperlink" Target="https://www.mitacs.ca/our-programs/accelerate/" TargetMode="External"/><Relationship Id="rId8" Type="http://schemas.openxmlformats.org/officeDocument/2006/relationships/hyperlink" Target="https://www.oc-innovation.ca/" TargetMode="External"/><Relationship Id="rId9" Type="http://schemas.openxmlformats.org/officeDocument/2006/relationships/hyperlink" Target="https://www.ontario.ca/page/ontario-innovation-tax-credit" TargetMode="External"/><Relationship Id="rId10" Type="http://schemas.openxmlformats.org/officeDocument/2006/relationships/hyperlink" Target="https://www.ontario.ca/page/ontario-interactive-digital-media-tax-credit" TargetMode="External"/><Relationship Id="rId11" Type="http://schemas.openxmlformats.org/officeDocument/2006/relationships/hyperlink" Target="https://ventureforcanada.ca/programs/internship-program" TargetMode="External"/><Relationship Id="rId12" Type="http://schemas.openxmlformats.org/officeDocument/2006/relationships/hyperlink" Target="https://www.tradecommissioner.gc.ca/funding-financement/canexport/sme-pme/index.aspx" TargetMode="External"/><Relationship Id="rId13" Type="http://schemas.openxmlformats.org/officeDocument/2006/relationships/hyperlink" Target="https://ised-isde.canada.ca/site/canada-digital-adoption-program/en" TargetMode="External"/><Relationship Id="rId14" Type="http://schemas.openxmlformats.org/officeDocument/2006/relationships/hyperlink" Target="https://feddev-ontario.canada.ca/" TargetMode="External"/><Relationship Id="rId15" Type="http://schemas.openxmlformats.org/officeDocument/2006/relationships/hyperlink" Target="https://www.ontario.ca/page/corporations-tax-credits" TargetMode="External"/><Relationship Id="rId16" Type="http://schemas.openxmlformats.org/officeDocument/2006/relationships/hyperlink" Target="https://digitalmainstreet.ca/" TargetMode="External"/><Relationship Id="rId17" Type="http://schemas.openxmlformats.org/officeDocument/2006/relationships/hyperlink" Target="https://www.ontario.ca/page/starter-company-plus" TargetMode="External"/><Relationship Id="rId18" Type="http://schemas.openxmlformats.org/officeDocument/2006/relationships/hyperlink" Target="https://ised-isde.canada.ca/site/strategic-innovation-fund/en" TargetMode="External"/><Relationship Id="rId19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bdc.ca/en/i-am/newcomer-entrepreneur" TargetMode="External"/><Relationship Id="rId2" Type="http://schemas.openxmlformats.org/officeDocument/2006/relationships/hyperlink" Target="https://futurpreneur.ca/en/eligibility/" TargetMode="External"/><Relationship Id="rId3" Type="http://schemas.openxmlformats.org/officeDocument/2006/relationships/hyperlink" Target="https://weoc.ca/loan-program/" TargetMode="External"/><Relationship Id="rId4" Type="http://schemas.openxmlformats.org/officeDocument/2006/relationships/hyperlink" Target="https://ised-isde.canada.ca/site/canada-small-business-financing-program/en" TargetMode="External"/><Relationship Id="rId5" Type="http://schemas.openxmlformats.org/officeDocument/2006/relationships/hyperlink" Target="https://www.bdc.ca/" TargetMode="External"/><Relationship Id="rId6" Type="http://schemas.openxmlformats.org/officeDocument/2006/relationships/hyperlink" Target="https://www.bdc.ca/en/financing/small-business-loan" TargetMode="External"/><Relationship Id="rId7" Type="http://schemas.openxmlformats.org/officeDocument/2006/relationships/hyperlink" Target="https://www.bdc.ca/en/financing/business-loans/technology-financing" TargetMode="External"/><Relationship Id="rId8" Type="http://schemas.openxmlformats.org/officeDocument/2006/relationships/hyperlink" Target="https://communityfuturesontario.ca/" TargetMode="External"/><Relationship Id="rId9" Type="http://schemas.openxmlformats.org/officeDocument/2006/relationships/hyperlink" Target="https://www.edc.ca/" TargetMode="External"/><Relationship Id="rId10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angelonenetwork.ca/" TargetMode="External"/><Relationship Id="rId2" Type="http://schemas.openxmlformats.org/officeDocument/2006/relationships/hyperlink" Target="https://www.mapleleafangels.com/" TargetMode="External"/><Relationship Id="rId3" Type="http://schemas.openxmlformats.org/officeDocument/2006/relationships/hyperlink" Target="https://www.nacocanada.com/" TargetMode="External"/><Relationship Id="rId4" Type="http://schemas.openxmlformats.org/officeDocument/2006/relationships/hyperlink" Target="https://equationangels.com/" TargetMode="External"/><Relationship Id="rId5" Type="http://schemas.openxmlformats.org/officeDocument/2006/relationships/hyperlink" Target="https://www.gtan.ca/" TargetMode="External"/><Relationship Id="rId6" Type="http://schemas.openxmlformats.org/officeDocument/2006/relationships/hyperlink" Target="https://www.keiretsuforum.com/" TargetMode="External"/><Relationship Id="rId7" Type="http://schemas.openxmlformats.org/officeDocument/2006/relationships/hyperlink" Target="https://www.yorkangels.com/" TargetMode="External"/><Relationship Id="rId8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garage.co/" TargetMode="External"/><Relationship Id="rId2" Type="http://schemas.openxmlformats.org/officeDocument/2006/relationships/hyperlink" Target="https://www.panache.vc/" TargetMode="External"/><Relationship Id="rId3" Type="http://schemas.openxmlformats.org/officeDocument/2006/relationships/hyperlink" Target="https://www.relayventures.com/" TargetMode="External"/><Relationship Id="rId4" Type="http://schemas.openxmlformats.org/officeDocument/2006/relationships/hyperlink" Target="https://bkrcapital.com/" TargetMode="External"/><Relationship Id="rId5" Type="http://schemas.openxmlformats.org/officeDocument/2006/relationships/hyperlink" Target="https://www.brightspark.com/" TargetMode="External"/><Relationship Id="rId6" Type="http://schemas.openxmlformats.org/officeDocument/2006/relationships/hyperlink" Target="https://dreammakerventures.com/" TargetMode="External"/><Relationship Id="rId7" Type="http://schemas.openxmlformats.org/officeDocument/2006/relationships/hyperlink" Target="https://extremevp.com/" TargetMode="External"/><Relationship Id="rId8" Type="http://schemas.openxmlformats.org/officeDocument/2006/relationships/hyperlink" Target="https://frameworkvc.com/" TargetMode="External"/><Relationship Id="rId9" Type="http://schemas.openxmlformats.org/officeDocument/2006/relationships/hyperlink" Target="https://golden.ventures/" TargetMode="External"/><Relationship Id="rId10" Type="http://schemas.openxmlformats.org/officeDocument/2006/relationships/hyperlink" Target="https://inovia.vc/" TargetMode="External"/><Relationship Id="rId11" Type="http://schemas.openxmlformats.org/officeDocument/2006/relationships/hyperlink" Target="https://realventures.com/" TargetMode="External"/><Relationship Id="rId12" Type="http://schemas.openxmlformats.org/officeDocument/2006/relationships/hyperlink" Target="https://www.rippleventures.com/" TargetMode="External"/><Relationship Id="rId13" Type="http://schemas.openxmlformats.org/officeDocument/2006/relationships/hyperlink" Target="https://twosmallfish.vc/" TargetMode="External"/><Relationship Id="rId14" Type="http://schemas.openxmlformats.org/officeDocument/2006/relationships/hyperlink" Target="https://versionone.vc/" TargetMode="External"/><Relationship Id="rId15" Type="http://schemas.openxmlformats.org/officeDocument/2006/relationships/hyperlink" Target="https://omersventures.com/" TargetMode="External"/><Relationship Id="rId16" Type="http://schemas.openxmlformats.org/officeDocument/2006/relationships/hyperlink" Target="https://round13.com/" TargetMode="External"/><Relationship Id="rId17" Type="http://schemas.openxmlformats.org/officeDocument/2006/relationships/hyperlink" Target="https://www.telusventures.com/" TargetMode="External"/><Relationship Id="rId18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velocityincubator.com/" TargetMode="External"/><Relationship Id="rId2" Type="http://schemas.openxmlformats.org/officeDocument/2006/relationships/hyperlink" Target="https://www.communitech.ca/" TargetMode="External"/><Relationship Id="rId3" Type="http://schemas.openxmlformats.org/officeDocument/2006/relationships/hyperlink" Target="https://www.creativedestructionlab.com/" TargetMode="External"/><Relationship Id="rId4" Type="http://schemas.openxmlformats.org/officeDocument/2006/relationships/hyperlink" Target="https://dmz.torontomu.ca/" TargetMode="External"/><Relationship Id="rId5" Type="http://schemas.openxmlformats.org/officeDocument/2006/relationships/hyperlink" Target="https://founderfuel.com/" TargetMode="External"/><Relationship Id="rId6" Type="http://schemas.openxmlformats.org/officeDocument/2006/relationships/hyperlink" Target="https://www.marsdd.com/" TargetMode="External"/><Relationship Id="rId7" Type="http://schemas.openxmlformats.org/officeDocument/2006/relationships/hyperlink" Target="https://nextcanada.com/" TargetMode="External"/><Relationship Id="rId8" Type="http://schemas.openxmlformats.org/officeDocument/2006/relationships/hyperlink" Target="https://www.techstars.com/" TargetMode="External"/><Relationship Id="rId9" Type="http://schemas.openxmlformats.org/officeDocument/2006/relationships/hyperlink" Target="https://www.ycombinator.com/" TargetMode="External"/><Relationship Id="rId10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angellist.com/" TargetMode="External"/><Relationship Id="rId2" Type="http://schemas.openxmlformats.org/officeDocument/2006/relationships/hyperlink" Target="https://www.frontfundr.com/" TargetMode="External"/><Relationship Id="rId3" Type="http://schemas.openxmlformats.org/officeDocument/2006/relationships/hyperlink" Target="https://www.restaurantscanada.org/" TargetMode="External"/><Relationship Id="rId4" Type="http://schemas.openxmlformats.org/officeDocument/2006/relationships/hyperlink" Target="https://www.kickstarter.com/" TargetMode="External"/><Relationship Id="rId5" Type="http://schemas.openxmlformats.org/officeDocument/2006/relationships/hyperlink" Target="https://helpbnk.com/" TargetMode="External"/><Relationship Id="rId6" Type="http://schemas.openxmlformats.org/officeDocument/2006/relationships/hyperlink" Target="https://ised-isde.canada.ca/site/tourism-growth-program/en" TargetMode="External"/><Relationship Id="rId7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canada.ca/en/atlantic-canada-opportunities/services/business-development-program.html" TargetMode="External"/><Relationship Id="rId2" Type="http://schemas.openxmlformats.org/officeDocument/2006/relationships/hyperlink" Target="https://www.genesiscentre.ca/" TargetMode="External"/><Relationship Id="rId3" Type="http://schemas.openxmlformats.org/officeDocument/2006/relationships/hyperlink" Target="https://www.gov.nl.ca/iet/funding/" TargetMode="External"/><Relationship Id="rId4" Type="http://schemas.openxmlformats.org/officeDocument/2006/relationships/hyperlink" Target="https://nlowe.org/" TargetMode="External"/><Relationship Id="rId5" Type="http://schemas.openxmlformats.org/officeDocument/2006/relationships/hyperlink" Target="https://nventure.ca/about" TargetMode="External"/><Relationship Id="rId6" Type="http://schemas.openxmlformats.org/officeDocument/2006/relationships/hyperlink" Target="https://www.gov.nl.ca/iet/funding/" TargetMode="External"/><Relationship Id="rId7" Type="http://schemas.openxmlformats.org/officeDocument/2006/relationships/hyperlink" Target="https://www.cbdc.ca/en/programs" TargetMode="External"/><Relationship Id="rId8" Type="http://schemas.openxmlformats.org/officeDocument/2006/relationships/hyperlink" Target="https://www.gov.nl.ca/ipgs/empservices/jobsnl/" TargetMode="External"/><Relationship Id="rId9" Type="http://schemas.openxmlformats.org/officeDocument/2006/relationships/hyperlink" Target="https://killickcapital.com/" TargetMode="External"/><Relationship Id="rId10" Type="http://schemas.openxmlformats.org/officeDocument/2006/relationships/hyperlink" Target="https://www.mbobusiness.ca/lending" TargetMode="External"/><Relationship Id="rId11" Type="http://schemas.openxmlformats.org/officeDocument/2006/relationships/hyperlink" Target="https://nbif.ca/" TargetMode="External"/><Relationship Id="rId12" Type="http://schemas.openxmlformats.org/officeDocument/2006/relationships/hyperlink" Target="https://nventure.ca/" TargetMode="External"/><Relationship Id="rId13" Type="http://schemas.openxmlformats.org/officeDocument/2006/relationships/hyperlink" Target="https://www.pelorusvc.com/" TargetMode="External"/><Relationship Id="rId14" Type="http://schemas.openxmlformats.org/officeDocument/2006/relationships/hyperlink" Target="https://propelict.com/" TargetMode="External"/><Relationship Id="rId15" Type="http://schemas.openxmlformats.org/officeDocument/2006/relationships/hyperlink" Target="https://voltaeffect.com/" TargetMode="External"/><Relationship Id="rId16" Type="http://schemas.openxmlformats.org/officeDocument/2006/relationships/hyperlink" Target="https://novascotia.ca/finance/en/home/taxation/tax101/businesstax/investmenttaxcredits.aspx" TargetMode="External"/><Relationship Id="rId17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5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4" customFormat="false" ht="24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</row>
    <row r="5" customFormat="false" ht="24" hidden="false" customHeight="true" outlineLevel="0" collapsed="false">
      <c r="A5" s="3" t="s">
        <v>2</v>
      </c>
      <c r="B5" s="3"/>
      <c r="C5" s="3"/>
      <c r="D5" s="3" t="s">
        <v>3</v>
      </c>
      <c r="E5" s="3"/>
      <c r="F5" s="3"/>
      <c r="G5" s="3" t="s">
        <v>4</v>
      </c>
      <c r="H5" s="3"/>
      <c r="I5" s="3"/>
    </row>
    <row r="6" customFormat="false" ht="25.5" hidden="false" customHeight="true" outlineLevel="0" collapsed="false">
      <c r="A6" s="4" t="s">
        <v>5</v>
      </c>
      <c r="B6" s="4"/>
      <c r="C6" s="4"/>
      <c r="D6" s="5" t="s">
        <v>6</v>
      </c>
      <c r="E6" s="5"/>
      <c r="F6" s="5"/>
      <c r="G6" s="6" t="s">
        <v>7</v>
      </c>
      <c r="H6" s="6"/>
      <c r="I6" s="6"/>
    </row>
    <row r="7" customFormat="false" ht="25.5" hidden="false" customHeight="true" outlineLevel="0" collapsed="false">
      <c r="A7" s="7" t="s">
        <v>8</v>
      </c>
      <c r="B7" s="7"/>
      <c r="C7" s="7"/>
      <c r="D7" s="8" t="s">
        <v>9</v>
      </c>
      <c r="E7" s="8"/>
      <c r="F7" s="8"/>
      <c r="G7" s="9" t="s">
        <v>10</v>
      </c>
      <c r="H7" s="9"/>
      <c r="I7" s="9"/>
    </row>
    <row r="8" customFormat="false" ht="25.5" hidden="false" customHeight="true" outlineLevel="0" collapsed="false">
      <c r="A8" s="9" t="s">
        <v>11</v>
      </c>
      <c r="B8" s="9"/>
      <c r="C8" s="9"/>
      <c r="D8" s="10" t="s">
        <v>12</v>
      </c>
      <c r="E8" s="10"/>
      <c r="F8" s="10"/>
      <c r="G8" s="7" t="s">
        <v>13</v>
      </c>
      <c r="H8" s="7"/>
      <c r="I8" s="7"/>
    </row>
    <row r="9" customFormat="false" ht="25.5" hidden="false" customHeight="true" outlineLevel="0" collapsed="false">
      <c r="A9" s="6" t="s">
        <v>14</v>
      </c>
      <c r="B9" s="6"/>
      <c r="C9" s="6"/>
      <c r="D9" s="11" t="s">
        <v>15</v>
      </c>
      <c r="E9" s="11"/>
      <c r="F9" s="11"/>
      <c r="G9" s="5" t="s">
        <v>16</v>
      </c>
      <c r="H9" s="5"/>
      <c r="I9" s="5"/>
    </row>
    <row r="11" customFormat="false" ht="27.75" hidden="false" customHeight="true" outlineLevel="0" collapsed="false">
      <c r="A11" s="12" t="s">
        <v>17</v>
      </c>
      <c r="B11" s="12"/>
      <c r="C11" s="12"/>
      <c r="D11" s="12"/>
      <c r="E11" s="12"/>
      <c r="F11" s="12"/>
      <c r="G11" s="12"/>
      <c r="H11" s="12"/>
      <c r="I11" s="12"/>
    </row>
    <row r="12" customFormat="false" ht="30" hidden="false" customHeight="true" outlineLevel="0" collapsed="false">
      <c r="A12" s="13" t="s">
        <v>18</v>
      </c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</v>
      </c>
      <c r="G12" s="13" t="s">
        <v>3</v>
      </c>
      <c r="H12" s="13" t="s">
        <v>4</v>
      </c>
      <c r="I12" s="13" t="s">
        <v>23</v>
      </c>
    </row>
    <row r="13" customFormat="false" ht="37.5" hidden="false" customHeight="true" outlineLevel="0" collapsed="false">
      <c r="A13" s="14" t="n">
        <v>1</v>
      </c>
      <c r="B13" s="15" t="s">
        <v>24</v>
      </c>
      <c r="C13" s="16" t="s">
        <v>25</v>
      </c>
      <c r="D13" s="16" t="s">
        <v>26</v>
      </c>
      <c r="E13" s="16" t="s">
        <v>27</v>
      </c>
      <c r="F13" s="17" t="s">
        <v>28</v>
      </c>
      <c r="G13" s="18" t="s">
        <v>29</v>
      </c>
      <c r="H13" s="19" t="s">
        <v>30</v>
      </c>
      <c r="I13" s="20" t="s">
        <v>31</v>
      </c>
    </row>
    <row r="14" customFormat="false" ht="37.5" hidden="false" customHeight="true" outlineLevel="0" collapsed="false">
      <c r="A14" s="21" t="n">
        <v>2</v>
      </c>
      <c r="B14" s="22" t="s">
        <v>32</v>
      </c>
      <c r="C14" s="23" t="s">
        <v>33</v>
      </c>
      <c r="D14" s="23" t="s">
        <v>34</v>
      </c>
      <c r="E14" s="23" t="s">
        <v>35</v>
      </c>
      <c r="F14" s="17" t="s">
        <v>28</v>
      </c>
      <c r="G14" s="18" t="s">
        <v>29</v>
      </c>
      <c r="H14" s="24" t="s">
        <v>30</v>
      </c>
      <c r="I14" s="25" t="s">
        <v>36</v>
      </c>
    </row>
    <row r="15" customFormat="false" ht="37.5" hidden="false" customHeight="true" outlineLevel="0" collapsed="false">
      <c r="A15" s="14" t="n">
        <v>3</v>
      </c>
      <c r="B15" s="15" t="s">
        <v>37</v>
      </c>
      <c r="C15" s="16" t="s">
        <v>38</v>
      </c>
      <c r="D15" s="16" t="s">
        <v>39</v>
      </c>
      <c r="E15" s="16" t="s">
        <v>40</v>
      </c>
      <c r="F15" s="17" t="s">
        <v>28</v>
      </c>
      <c r="G15" s="18" t="s">
        <v>29</v>
      </c>
      <c r="H15" s="19" t="s">
        <v>30</v>
      </c>
      <c r="I15" s="20" t="s">
        <v>41</v>
      </c>
    </row>
    <row r="16" customFormat="false" ht="37.5" hidden="false" customHeight="true" outlineLevel="0" collapsed="false">
      <c r="A16" s="21" t="n">
        <v>4</v>
      </c>
      <c r="B16" s="22" t="s">
        <v>42</v>
      </c>
      <c r="C16" s="23" t="s">
        <v>43</v>
      </c>
      <c r="D16" s="23" t="s">
        <v>44</v>
      </c>
      <c r="E16" s="23" t="s">
        <v>45</v>
      </c>
      <c r="F16" s="17" t="s">
        <v>28</v>
      </c>
      <c r="G16" s="18" t="s">
        <v>29</v>
      </c>
      <c r="H16" s="24" t="s">
        <v>30</v>
      </c>
      <c r="I16" s="25" t="s">
        <v>46</v>
      </c>
    </row>
    <row r="17" customFormat="false" ht="37.5" hidden="false" customHeight="true" outlineLevel="0" collapsed="false">
      <c r="A17" s="14" t="n">
        <v>5</v>
      </c>
      <c r="B17" s="15" t="s">
        <v>47</v>
      </c>
      <c r="C17" s="16" t="s">
        <v>48</v>
      </c>
      <c r="D17" s="16" t="s">
        <v>49</v>
      </c>
      <c r="E17" s="16" t="s">
        <v>50</v>
      </c>
      <c r="F17" s="17" t="s">
        <v>28</v>
      </c>
      <c r="G17" s="18" t="s">
        <v>29</v>
      </c>
      <c r="H17" s="19" t="s">
        <v>30</v>
      </c>
      <c r="I17" s="20" t="s">
        <v>51</v>
      </c>
    </row>
    <row r="18" customFormat="false" ht="37.5" hidden="false" customHeight="true" outlineLevel="0" collapsed="false">
      <c r="A18" s="21" t="n">
        <v>6</v>
      </c>
      <c r="B18" s="22" t="s">
        <v>52</v>
      </c>
      <c r="C18" s="23" t="s">
        <v>53</v>
      </c>
      <c r="D18" s="23" t="s">
        <v>54</v>
      </c>
      <c r="E18" s="23" t="s">
        <v>55</v>
      </c>
      <c r="F18" s="17" t="s">
        <v>28</v>
      </c>
      <c r="G18" s="18" t="s">
        <v>29</v>
      </c>
      <c r="H18" s="24" t="s">
        <v>30</v>
      </c>
      <c r="I18" s="25" t="s">
        <v>56</v>
      </c>
    </row>
    <row r="19" customFormat="false" ht="37.5" hidden="false" customHeight="true" outlineLevel="0" collapsed="false">
      <c r="A19" s="14" t="n">
        <v>7</v>
      </c>
      <c r="B19" s="15" t="s">
        <v>57</v>
      </c>
      <c r="C19" s="16" t="s">
        <v>58</v>
      </c>
      <c r="D19" s="16" t="s">
        <v>59</v>
      </c>
      <c r="E19" s="16" t="s">
        <v>60</v>
      </c>
      <c r="F19" s="17" t="s">
        <v>28</v>
      </c>
      <c r="G19" s="18" t="s">
        <v>29</v>
      </c>
      <c r="H19" s="19" t="s">
        <v>30</v>
      </c>
      <c r="I19" s="20" t="s">
        <v>61</v>
      </c>
    </row>
    <row r="20" customFormat="false" ht="37.5" hidden="false" customHeight="true" outlineLevel="0" collapsed="false">
      <c r="A20" s="21" t="n">
        <v>8</v>
      </c>
      <c r="B20" s="22" t="s">
        <v>62</v>
      </c>
      <c r="C20" s="23" t="s">
        <v>58</v>
      </c>
      <c r="D20" s="23" t="s">
        <v>63</v>
      </c>
      <c r="E20" s="23" t="s">
        <v>64</v>
      </c>
      <c r="F20" s="17" t="s">
        <v>28</v>
      </c>
      <c r="G20" s="18" t="s">
        <v>29</v>
      </c>
      <c r="H20" s="18" t="s">
        <v>65</v>
      </c>
      <c r="I20" s="25" t="s">
        <v>66</v>
      </c>
    </row>
    <row r="21" customFormat="false" ht="37.5" hidden="false" customHeight="true" outlineLevel="0" collapsed="false">
      <c r="A21" s="14" t="n">
        <v>9</v>
      </c>
      <c r="B21" s="15" t="s">
        <v>67</v>
      </c>
      <c r="C21" s="16" t="s">
        <v>68</v>
      </c>
      <c r="D21" s="16" t="s">
        <v>69</v>
      </c>
      <c r="E21" s="16" t="s">
        <v>70</v>
      </c>
      <c r="F21" s="17" t="s">
        <v>28</v>
      </c>
      <c r="G21" s="18" t="s">
        <v>29</v>
      </c>
      <c r="H21" s="19" t="s">
        <v>30</v>
      </c>
      <c r="I21" s="20" t="s">
        <v>71</v>
      </c>
    </row>
    <row r="22" customFormat="false" ht="37.5" hidden="false" customHeight="true" outlineLevel="0" collapsed="false">
      <c r="A22" s="21" t="n">
        <v>10</v>
      </c>
      <c r="B22" s="22" t="s">
        <v>72</v>
      </c>
      <c r="C22" s="23" t="s">
        <v>73</v>
      </c>
      <c r="D22" s="23" t="s">
        <v>74</v>
      </c>
      <c r="E22" s="23" t="s">
        <v>75</v>
      </c>
      <c r="F22" s="26" t="s">
        <v>76</v>
      </c>
      <c r="G22" s="18" t="s">
        <v>29</v>
      </c>
      <c r="H22" s="24" t="s">
        <v>30</v>
      </c>
      <c r="I22" s="25" t="s">
        <v>77</v>
      </c>
    </row>
    <row r="23" customFormat="false" ht="37.5" hidden="false" customHeight="true" outlineLevel="0" collapsed="false">
      <c r="A23" s="14" t="n">
        <v>11</v>
      </c>
      <c r="B23" s="15" t="s">
        <v>78</v>
      </c>
      <c r="C23" s="16" t="s">
        <v>79</v>
      </c>
      <c r="D23" s="16" t="s">
        <v>80</v>
      </c>
      <c r="E23" s="16" t="s">
        <v>81</v>
      </c>
      <c r="F23" s="26" t="s">
        <v>76</v>
      </c>
      <c r="G23" s="18" t="s">
        <v>29</v>
      </c>
      <c r="H23" s="19" t="s">
        <v>30</v>
      </c>
      <c r="I23" s="20" t="s">
        <v>56</v>
      </c>
    </row>
    <row r="24" customFormat="false" ht="37.5" hidden="false" customHeight="true" outlineLevel="0" collapsed="false">
      <c r="A24" s="21" t="n">
        <v>12</v>
      </c>
      <c r="B24" s="22" t="s">
        <v>82</v>
      </c>
      <c r="C24" s="23" t="s">
        <v>83</v>
      </c>
      <c r="D24" s="23" t="s">
        <v>84</v>
      </c>
      <c r="E24" s="23" t="s">
        <v>85</v>
      </c>
      <c r="F24" s="26" t="s">
        <v>76</v>
      </c>
      <c r="G24" s="18" t="s">
        <v>29</v>
      </c>
      <c r="H24" s="26" t="s">
        <v>86</v>
      </c>
      <c r="I24" s="25" t="s">
        <v>87</v>
      </c>
    </row>
    <row r="25" customFormat="false" ht="37.5" hidden="false" customHeight="true" outlineLevel="0" collapsed="false">
      <c r="A25" s="14" t="n">
        <v>13</v>
      </c>
      <c r="B25" s="15" t="s">
        <v>88</v>
      </c>
      <c r="C25" s="16" t="s">
        <v>89</v>
      </c>
      <c r="D25" s="16" t="s">
        <v>90</v>
      </c>
      <c r="E25" s="16" t="s">
        <v>91</v>
      </c>
      <c r="F25" s="26" t="s">
        <v>76</v>
      </c>
      <c r="G25" s="18" t="s">
        <v>29</v>
      </c>
      <c r="H25" s="19" t="s">
        <v>30</v>
      </c>
      <c r="I25" s="20" t="s">
        <v>92</v>
      </c>
    </row>
    <row r="26" customFormat="false" ht="37.5" hidden="false" customHeight="true" outlineLevel="0" collapsed="false">
      <c r="A26" s="21" t="n">
        <v>14</v>
      </c>
      <c r="B26" s="22" t="s">
        <v>93</v>
      </c>
      <c r="C26" s="23" t="s">
        <v>94</v>
      </c>
      <c r="D26" s="23" t="s">
        <v>95</v>
      </c>
      <c r="E26" s="23" t="s">
        <v>75</v>
      </c>
      <c r="F26" s="26" t="s">
        <v>76</v>
      </c>
      <c r="G26" s="18" t="s">
        <v>29</v>
      </c>
      <c r="H26" s="24" t="s">
        <v>30</v>
      </c>
      <c r="I26" s="25" t="s">
        <v>96</v>
      </c>
    </row>
    <row r="27" customFormat="false" ht="37.5" hidden="false" customHeight="true" outlineLevel="0" collapsed="false">
      <c r="A27" s="14" t="n">
        <v>15</v>
      </c>
      <c r="B27" s="15" t="s">
        <v>97</v>
      </c>
      <c r="C27" s="16" t="s">
        <v>98</v>
      </c>
      <c r="D27" s="16" t="s">
        <v>99</v>
      </c>
      <c r="E27" s="16" t="s">
        <v>100</v>
      </c>
      <c r="F27" s="26" t="s">
        <v>76</v>
      </c>
      <c r="G27" s="18" t="s">
        <v>29</v>
      </c>
      <c r="H27" s="19" t="s">
        <v>30</v>
      </c>
      <c r="I27" s="20" t="s">
        <v>101</v>
      </c>
    </row>
    <row r="28" customFormat="false" ht="37.5" hidden="false" customHeight="true" outlineLevel="0" collapsed="false">
      <c r="A28" s="21" t="n">
        <v>16</v>
      </c>
      <c r="B28" s="22" t="s">
        <v>102</v>
      </c>
      <c r="C28" s="23" t="s">
        <v>73</v>
      </c>
      <c r="D28" s="23" t="s">
        <v>103</v>
      </c>
      <c r="E28" s="23" t="s">
        <v>75</v>
      </c>
      <c r="F28" s="26" t="s">
        <v>76</v>
      </c>
      <c r="G28" s="18" t="s">
        <v>29</v>
      </c>
      <c r="H28" s="24" t="s">
        <v>30</v>
      </c>
      <c r="I28" s="25" t="s">
        <v>104</v>
      </c>
    </row>
    <row r="29" customFormat="false" ht="37.5" hidden="false" customHeight="true" outlineLevel="0" collapsed="false">
      <c r="A29" s="14" t="n">
        <v>17</v>
      </c>
      <c r="B29" s="15" t="s">
        <v>105</v>
      </c>
      <c r="C29" s="16" t="s">
        <v>89</v>
      </c>
      <c r="D29" s="16" t="s">
        <v>106</v>
      </c>
      <c r="E29" s="16" t="s">
        <v>107</v>
      </c>
      <c r="F29" s="26" t="s">
        <v>76</v>
      </c>
      <c r="G29" s="18" t="s">
        <v>29</v>
      </c>
      <c r="H29" s="19" t="s">
        <v>30</v>
      </c>
      <c r="I29" s="20" t="s">
        <v>108</v>
      </c>
    </row>
    <row r="30" customFormat="false" ht="37.5" hidden="false" customHeight="true" outlineLevel="0" collapsed="false">
      <c r="A30" s="21" t="n">
        <v>18</v>
      </c>
      <c r="B30" s="22" t="s">
        <v>109</v>
      </c>
      <c r="C30" s="23" t="s">
        <v>110</v>
      </c>
      <c r="D30" s="23" t="s">
        <v>111</v>
      </c>
      <c r="E30" s="23" t="s">
        <v>75</v>
      </c>
      <c r="F30" s="26" t="s">
        <v>76</v>
      </c>
      <c r="G30" s="18" t="s">
        <v>29</v>
      </c>
      <c r="H30" s="24" t="s">
        <v>30</v>
      </c>
      <c r="I30" s="25" t="s">
        <v>112</v>
      </c>
    </row>
    <row r="31" customFormat="false" ht="37.5" hidden="false" customHeight="true" outlineLevel="0" collapsed="false">
      <c r="A31" s="14" t="n">
        <v>19</v>
      </c>
      <c r="B31" s="15" t="s">
        <v>113</v>
      </c>
      <c r="C31" s="16" t="s">
        <v>114</v>
      </c>
      <c r="D31" s="16" t="s">
        <v>115</v>
      </c>
      <c r="E31" s="16" t="s">
        <v>116</v>
      </c>
      <c r="F31" s="26" t="s">
        <v>76</v>
      </c>
      <c r="G31" s="18" t="s">
        <v>29</v>
      </c>
      <c r="H31" s="19" t="s">
        <v>30</v>
      </c>
      <c r="I31" s="20" t="s">
        <v>117</v>
      </c>
    </row>
    <row r="32" customFormat="false" ht="37.5" hidden="false" customHeight="true" outlineLevel="0" collapsed="false">
      <c r="A32" s="21" t="n">
        <v>20</v>
      </c>
      <c r="B32" s="22" t="s">
        <v>118</v>
      </c>
      <c r="C32" s="23" t="s">
        <v>119</v>
      </c>
      <c r="D32" s="23" t="s">
        <v>120</v>
      </c>
      <c r="E32" s="23" t="s">
        <v>121</v>
      </c>
      <c r="F32" s="26" t="s">
        <v>76</v>
      </c>
      <c r="G32" s="18" t="s">
        <v>29</v>
      </c>
      <c r="H32" s="26" t="s">
        <v>86</v>
      </c>
      <c r="I32" s="25" t="s">
        <v>122</v>
      </c>
    </row>
    <row r="33" customFormat="false" ht="37.5" hidden="false" customHeight="true" outlineLevel="0" collapsed="false">
      <c r="A33" s="14" t="n">
        <v>21</v>
      </c>
      <c r="B33" s="15" t="s">
        <v>123</v>
      </c>
      <c r="C33" s="16" t="s">
        <v>124</v>
      </c>
      <c r="D33" s="16" t="s">
        <v>125</v>
      </c>
      <c r="E33" s="16" t="s">
        <v>126</v>
      </c>
      <c r="F33" s="26" t="s">
        <v>76</v>
      </c>
      <c r="G33" s="18" t="s">
        <v>29</v>
      </c>
      <c r="H33" s="19" t="s">
        <v>30</v>
      </c>
      <c r="I33" s="20" t="s">
        <v>127</v>
      </c>
    </row>
    <row r="34" customFormat="false" ht="37.5" hidden="false" customHeight="true" outlineLevel="0" collapsed="false">
      <c r="A34" s="21" t="n">
        <v>22</v>
      </c>
      <c r="B34" s="22" t="s">
        <v>128</v>
      </c>
      <c r="C34" s="23" t="s">
        <v>94</v>
      </c>
      <c r="D34" s="23" t="s">
        <v>129</v>
      </c>
      <c r="E34" s="23" t="s">
        <v>130</v>
      </c>
      <c r="F34" s="26" t="s">
        <v>76</v>
      </c>
      <c r="G34" s="18" t="s">
        <v>29</v>
      </c>
      <c r="H34" s="24" t="s">
        <v>30</v>
      </c>
      <c r="I34" s="25" t="s">
        <v>131</v>
      </c>
    </row>
    <row r="35" customFormat="false" ht="37.5" hidden="false" customHeight="true" outlineLevel="0" collapsed="false">
      <c r="A35" s="14" t="n">
        <v>23</v>
      </c>
      <c r="B35" s="15" t="s">
        <v>132</v>
      </c>
      <c r="C35" s="16" t="s">
        <v>133</v>
      </c>
      <c r="D35" s="16" t="s">
        <v>134</v>
      </c>
      <c r="E35" s="16" t="s">
        <v>135</v>
      </c>
      <c r="F35" s="26" t="s">
        <v>76</v>
      </c>
      <c r="G35" s="18" t="s">
        <v>29</v>
      </c>
      <c r="H35" s="19" t="s">
        <v>30</v>
      </c>
      <c r="I35" s="20" t="s">
        <v>136</v>
      </c>
    </row>
    <row r="36" customFormat="false" ht="37.5" hidden="false" customHeight="true" outlineLevel="0" collapsed="false">
      <c r="A36" s="21" t="n">
        <v>24</v>
      </c>
      <c r="B36" s="22" t="s">
        <v>137</v>
      </c>
      <c r="C36" s="23" t="s">
        <v>94</v>
      </c>
      <c r="D36" s="23" t="s">
        <v>138</v>
      </c>
      <c r="E36" s="23" t="s">
        <v>139</v>
      </c>
      <c r="F36" s="26" t="s">
        <v>76</v>
      </c>
      <c r="G36" s="18" t="s">
        <v>29</v>
      </c>
      <c r="H36" s="24" t="s">
        <v>30</v>
      </c>
      <c r="I36" s="25" t="s">
        <v>140</v>
      </c>
    </row>
    <row r="39" customFormat="false" ht="24" hidden="false" customHeight="true" outlineLevel="0" collapsed="false">
      <c r="A39" s="2" t="s">
        <v>141</v>
      </c>
      <c r="B39" s="2"/>
      <c r="C39" s="2"/>
      <c r="D39" s="2"/>
      <c r="E39" s="2"/>
      <c r="F39" s="2"/>
      <c r="G39" s="2"/>
      <c r="H39" s="2"/>
      <c r="I39" s="2"/>
    </row>
    <row r="40" customFormat="false" ht="21.75" hidden="false" customHeight="true" outlineLevel="0" collapsed="false">
      <c r="A40" s="27" t="s">
        <v>142</v>
      </c>
      <c r="B40" s="27"/>
      <c r="C40" s="27"/>
      <c r="D40" s="27" t="s">
        <v>143</v>
      </c>
      <c r="E40" s="27"/>
    </row>
    <row r="41" customFormat="false" ht="19.5" hidden="false" customHeight="true" outlineLevel="0" collapsed="false">
      <c r="A41" s="28" t="s">
        <v>144</v>
      </c>
      <c r="B41" s="28"/>
      <c r="C41" s="28"/>
      <c r="D41" s="29" t="n">
        <v>18</v>
      </c>
      <c r="E41" s="29"/>
    </row>
    <row r="42" customFormat="false" ht="19.5" hidden="false" customHeight="true" outlineLevel="0" collapsed="false">
      <c r="A42" s="30" t="s">
        <v>145</v>
      </c>
      <c r="B42" s="30"/>
      <c r="C42" s="30"/>
      <c r="D42" s="31" t="n">
        <v>9</v>
      </c>
      <c r="E42" s="31"/>
    </row>
    <row r="43" customFormat="false" ht="19.5" hidden="false" customHeight="true" outlineLevel="0" collapsed="false">
      <c r="A43" s="28" t="s">
        <v>146</v>
      </c>
      <c r="B43" s="28"/>
      <c r="C43" s="28"/>
      <c r="D43" s="29" t="n">
        <v>7</v>
      </c>
      <c r="E43" s="29"/>
    </row>
    <row r="44" customFormat="false" ht="19.5" hidden="false" customHeight="true" outlineLevel="0" collapsed="false">
      <c r="A44" s="30" t="s">
        <v>94</v>
      </c>
      <c r="B44" s="30"/>
      <c r="C44" s="30"/>
      <c r="D44" s="31" t="n">
        <v>17</v>
      </c>
      <c r="E44" s="31"/>
    </row>
    <row r="45" customFormat="false" ht="19.5" hidden="false" customHeight="true" outlineLevel="0" collapsed="false">
      <c r="A45" s="28" t="s">
        <v>147</v>
      </c>
      <c r="B45" s="28"/>
      <c r="C45" s="28"/>
      <c r="D45" s="29" t="n">
        <v>9</v>
      </c>
      <c r="E45" s="29"/>
    </row>
    <row r="46" customFormat="false" ht="19.5" hidden="false" customHeight="true" outlineLevel="0" collapsed="false">
      <c r="A46" s="30" t="s">
        <v>148</v>
      </c>
      <c r="B46" s="30"/>
      <c r="C46" s="30"/>
      <c r="D46" s="31" t="n">
        <v>6</v>
      </c>
      <c r="E46" s="31"/>
    </row>
    <row r="47" customFormat="false" ht="19.5" hidden="false" customHeight="true" outlineLevel="0" collapsed="false">
      <c r="A47" s="28" t="s">
        <v>149</v>
      </c>
      <c r="B47" s="28"/>
      <c r="C47" s="28"/>
      <c r="D47" s="29" t="n">
        <v>16</v>
      </c>
      <c r="E47" s="29"/>
    </row>
    <row r="48" customFormat="false" ht="21.75" hidden="false" customHeight="true" outlineLevel="0" collapsed="false">
      <c r="A48" s="32" t="s">
        <v>150</v>
      </c>
      <c r="B48" s="32"/>
      <c r="C48" s="32"/>
      <c r="D48" s="33" t="n">
        <v>82</v>
      </c>
      <c r="E48" s="33"/>
    </row>
  </sheetData>
  <mergeCells count="37">
    <mergeCell ref="A1:I2"/>
    <mergeCell ref="A4:I4"/>
    <mergeCell ref="A5:C5"/>
    <mergeCell ref="D5:F5"/>
    <mergeCell ref="G5:I5"/>
    <mergeCell ref="A6:C6"/>
    <mergeCell ref="D6:F6"/>
    <mergeCell ref="G6:I6"/>
    <mergeCell ref="A7:C7"/>
    <mergeCell ref="D7:F7"/>
    <mergeCell ref="G7:I7"/>
    <mergeCell ref="A8:C8"/>
    <mergeCell ref="D8:F8"/>
    <mergeCell ref="G8:I8"/>
    <mergeCell ref="A9:C9"/>
    <mergeCell ref="D9:F9"/>
    <mergeCell ref="G9:I9"/>
    <mergeCell ref="A11:I11"/>
    <mergeCell ref="A39:I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</mergeCells>
  <conditionalFormatting sqref="H13:H36">
    <cfRule type="cellIs" priority="2" operator="equal" aboveAverage="0" equalAverage="0" bottom="0" percent="0" rank="0" text="" dxfId="0">
      <formula>"Reached Out"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"Submitted"</formula>
    </cfRule>
    <cfRule type="cellIs" priority="5" operator="equal" aboveAverage="0" equalAverage="0" bottom="0" percent="0" rank="0" text="" dxfId="2">
      <formula>"Approved"</formula>
    </cfRule>
    <cfRule type="cellIs" priority="6" operator="equal" aboveAverage="0" equalAverage="0" bottom="0" percent="0" rank="0" text="" dxfId="3">
      <formula>"Rejected"</formula>
    </cfRule>
  </conditionalFormatting>
  <dataValidations count="1">
    <dataValidation allowBlank="true" error="Please pick one of: -, Reached Out, In Progress, Submitted, Approved, Rejected" errorStyle="stop" errorTitle="Invalid status" operator="between" showDropDown="false" showErrorMessage="true" showInputMessage="false" sqref="H13:H36" type="list">
      <formula1>"-,Reached Out,In Progress,Submitted,Approved,Rejected"</formula1>
      <formula2>0</formula2>
    </dataValidation>
  </dataValidations>
  <hyperlinks>
    <hyperlink ref="I13" r:id="rId1" display="https://www.canada.ca/en/atlantic-canada-opportunities/services/business-development-program.html"/>
    <hyperlink ref="I14" r:id="rId2" display="https://www.bdc.ca/en/i-am/newcomer-entrepreneur"/>
    <hyperlink ref="I15" r:id="rId3" display="https://ised-isde.canada.ca/site/innovative-solutions-canada/en"/>
    <hyperlink ref="I16" r:id="rId4" display="https://futurpreneur.ca/en/eligibility/"/>
    <hyperlink ref="I17" r:id="rId5" display="https://nrc.canada.ca/en/support-technology-innovation/financial-support-technology-innovation"/>
    <hyperlink ref="I18" r:id="rId6" display="https://www.gov.nl.ca/iet/funding/"/>
    <hyperlink ref="I19" r:id="rId7" display="https://nventure.ca/about"/>
    <hyperlink ref="I20" r:id="rId8" display="https://weoc.ca/loan-program/"/>
    <hyperlink ref="I21" r:id="rId9" display="https://ised-isde.canada.ca/site/ised/en/programs-and-initiatives/women-entrepreneurship-strategy"/>
    <hyperlink ref="I22" r:id="rId10" display="https://www.angelonenetwork.ca"/>
    <hyperlink ref="I23" r:id="rId11" display="https://www.gov.nl.ca/iet/funding/"/>
    <hyperlink ref="I24" r:id="rId12" display="https://ised-isde.canada.ca/site/canada-small-business-financing-program/en"/>
    <hyperlink ref="I25" r:id="rId13" display="https://www.cbdc.ca/en/programs"/>
    <hyperlink ref="I26" r:id="rId14" display="https://garage.co"/>
    <hyperlink ref="I27" r:id="rId15" display="https://killickcapital.com"/>
    <hyperlink ref="I28" r:id="rId16" display="https://www.mapleleafangels.com"/>
    <hyperlink ref="I29" r:id="rId17" display="https://www.mbobusiness.ca/lending"/>
    <hyperlink ref="I30" r:id="rId18" display="https://www.nacocanada.com"/>
    <hyperlink ref="I31" r:id="rId19" display="https://nbif.ca"/>
    <hyperlink ref="I32" r:id="rId20" display="https://nventure.ca"/>
    <hyperlink ref="I33" r:id="rId21" display="https://www.oc-innovation.ca"/>
    <hyperlink ref="I34" r:id="rId22" display="https://www.panache.vc"/>
    <hyperlink ref="I35" r:id="rId23" display="https://www.pelorusvc.com"/>
    <hyperlink ref="I36" r:id="rId24" display="https://www.relayventures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58"/>
  </cols>
  <sheetData>
    <row r="1" customFormat="false" ht="36" hidden="false" customHeight="true" outlineLevel="0" collapsed="false">
      <c r="A1" s="34" t="s">
        <v>144</v>
      </c>
      <c r="B1" s="34"/>
      <c r="C1" s="34"/>
      <c r="D1" s="34"/>
      <c r="E1" s="34"/>
      <c r="F1" s="34"/>
      <c r="G1" s="34"/>
      <c r="H1" s="34"/>
      <c r="I1" s="34"/>
    </row>
    <row r="3" customFormat="false" ht="30" hidden="false" customHeight="true" outlineLevel="0" collapsed="false">
      <c r="A3" s="13" t="s">
        <v>18</v>
      </c>
      <c r="B3" s="13" t="s">
        <v>19</v>
      </c>
      <c r="C3" s="13" t="s">
        <v>20</v>
      </c>
      <c r="D3" s="13" t="s">
        <v>21</v>
      </c>
      <c r="E3" s="13" t="s">
        <v>22</v>
      </c>
      <c r="F3" s="13" t="s">
        <v>2</v>
      </c>
      <c r="G3" s="13" t="s">
        <v>3</v>
      </c>
      <c r="H3" s="13" t="s">
        <v>4</v>
      </c>
      <c r="I3" s="13" t="s">
        <v>23</v>
      </c>
    </row>
    <row r="4" customFormat="false" ht="37.5" hidden="false" customHeight="true" outlineLevel="0" collapsed="false">
      <c r="A4" s="14" t="n">
        <v>1</v>
      </c>
      <c r="B4" s="15" t="s">
        <v>37</v>
      </c>
      <c r="C4" s="16" t="s">
        <v>38</v>
      </c>
      <c r="D4" s="16" t="s">
        <v>39</v>
      </c>
      <c r="E4" s="16" t="s">
        <v>40</v>
      </c>
      <c r="F4" s="17" t="s">
        <v>28</v>
      </c>
      <c r="G4" s="18" t="s">
        <v>29</v>
      </c>
      <c r="H4" s="19" t="str">
        <f aca="false">'Start Here'!H15</f>
        <v>-</v>
      </c>
      <c r="I4" s="20" t="s">
        <v>41</v>
      </c>
    </row>
    <row r="5" customFormat="false" ht="37.5" hidden="false" customHeight="true" outlineLevel="0" collapsed="false">
      <c r="A5" s="21" t="n">
        <v>2</v>
      </c>
      <c r="B5" s="22" t="s">
        <v>47</v>
      </c>
      <c r="C5" s="23" t="s">
        <v>48</v>
      </c>
      <c r="D5" s="23" t="s">
        <v>49</v>
      </c>
      <c r="E5" s="23" t="s">
        <v>50</v>
      </c>
      <c r="F5" s="17" t="s">
        <v>28</v>
      </c>
      <c r="G5" s="18" t="s">
        <v>29</v>
      </c>
      <c r="H5" s="24" t="str">
        <f aca="false">'Start Here'!H17</f>
        <v>-</v>
      </c>
      <c r="I5" s="25" t="s">
        <v>51</v>
      </c>
    </row>
    <row r="6" customFormat="false" ht="37.5" hidden="false" customHeight="true" outlineLevel="0" collapsed="false">
      <c r="A6" s="14" t="n">
        <v>3</v>
      </c>
      <c r="B6" s="15" t="s">
        <v>151</v>
      </c>
      <c r="C6" s="16" t="s">
        <v>152</v>
      </c>
      <c r="D6" s="16" t="s">
        <v>153</v>
      </c>
      <c r="E6" s="16" t="s">
        <v>154</v>
      </c>
      <c r="F6" s="17" t="s">
        <v>28</v>
      </c>
      <c r="G6" s="35" t="s">
        <v>155</v>
      </c>
      <c r="H6" s="19" t="s">
        <v>30</v>
      </c>
      <c r="I6" s="20" t="s">
        <v>156</v>
      </c>
    </row>
    <row r="7" customFormat="false" ht="37.5" hidden="false" customHeight="true" outlineLevel="0" collapsed="false">
      <c r="A7" s="21" t="n">
        <v>4</v>
      </c>
      <c r="B7" s="22" t="s">
        <v>157</v>
      </c>
      <c r="C7" s="23" t="s">
        <v>158</v>
      </c>
      <c r="D7" s="23" t="s">
        <v>159</v>
      </c>
      <c r="E7" s="23" t="s">
        <v>160</v>
      </c>
      <c r="F7" s="17" t="s">
        <v>28</v>
      </c>
      <c r="G7" s="36" t="s">
        <v>161</v>
      </c>
      <c r="H7" s="24" t="s">
        <v>30</v>
      </c>
      <c r="I7" s="25" t="s">
        <v>162</v>
      </c>
    </row>
    <row r="8" customFormat="false" ht="37.5" hidden="false" customHeight="true" outlineLevel="0" collapsed="false">
      <c r="A8" s="14" t="n">
        <v>5</v>
      </c>
      <c r="B8" s="15" t="s">
        <v>67</v>
      </c>
      <c r="C8" s="16" t="s">
        <v>68</v>
      </c>
      <c r="D8" s="16" t="s">
        <v>69</v>
      </c>
      <c r="E8" s="16" t="s">
        <v>70</v>
      </c>
      <c r="F8" s="17" t="s">
        <v>28</v>
      </c>
      <c r="G8" s="18" t="s">
        <v>29</v>
      </c>
      <c r="H8" s="19" t="str">
        <f aca="false">'Start Here'!H21</f>
        <v>-</v>
      </c>
      <c r="I8" s="20" t="s">
        <v>71</v>
      </c>
    </row>
    <row r="9" customFormat="false" ht="37.5" hidden="false" customHeight="true" outlineLevel="0" collapsed="false">
      <c r="A9" s="21" t="n">
        <v>6</v>
      </c>
      <c r="B9" s="22" t="s">
        <v>163</v>
      </c>
      <c r="C9" s="23" t="s">
        <v>152</v>
      </c>
      <c r="D9" s="23" t="s">
        <v>164</v>
      </c>
      <c r="E9" s="23" t="s">
        <v>165</v>
      </c>
      <c r="F9" s="26" t="s">
        <v>76</v>
      </c>
      <c r="G9" s="35" t="s">
        <v>155</v>
      </c>
      <c r="H9" s="24" t="s">
        <v>30</v>
      </c>
      <c r="I9" s="25" t="s">
        <v>166</v>
      </c>
    </row>
    <row r="10" customFormat="false" ht="37.5" hidden="false" customHeight="true" outlineLevel="0" collapsed="false">
      <c r="A10" s="14" t="n">
        <v>7</v>
      </c>
      <c r="B10" s="15" t="s">
        <v>167</v>
      </c>
      <c r="C10" s="16" t="s">
        <v>168</v>
      </c>
      <c r="D10" s="16" t="s">
        <v>169</v>
      </c>
      <c r="E10" s="16" t="s">
        <v>170</v>
      </c>
      <c r="F10" s="26" t="s">
        <v>76</v>
      </c>
      <c r="G10" s="35" t="s">
        <v>155</v>
      </c>
      <c r="H10" s="19" t="s">
        <v>30</v>
      </c>
      <c r="I10" s="20" t="s">
        <v>171</v>
      </c>
    </row>
    <row r="11" customFormat="false" ht="37.5" hidden="false" customHeight="true" outlineLevel="0" collapsed="false">
      <c r="A11" s="21" t="n">
        <v>8</v>
      </c>
      <c r="B11" s="22" t="s">
        <v>123</v>
      </c>
      <c r="C11" s="23" t="s">
        <v>124</v>
      </c>
      <c r="D11" s="23" t="s">
        <v>125</v>
      </c>
      <c r="E11" s="23" t="s">
        <v>126</v>
      </c>
      <c r="F11" s="26" t="s">
        <v>76</v>
      </c>
      <c r="G11" s="18" t="s">
        <v>29</v>
      </c>
      <c r="H11" s="24" t="str">
        <f aca="false">'Start Here'!H33</f>
        <v>-</v>
      </c>
      <c r="I11" s="25" t="s">
        <v>127</v>
      </c>
    </row>
    <row r="12" customFormat="false" ht="37.5" hidden="false" customHeight="true" outlineLevel="0" collapsed="false">
      <c r="A12" s="14" t="n">
        <v>9</v>
      </c>
      <c r="B12" s="15" t="s">
        <v>172</v>
      </c>
      <c r="C12" s="16" t="s">
        <v>158</v>
      </c>
      <c r="D12" s="16" t="s">
        <v>173</v>
      </c>
      <c r="E12" s="16" t="s">
        <v>174</v>
      </c>
      <c r="F12" s="26" t="s">
        <v>76</v>
      </c>
      <c r="G12" s="36" t="s">
        <v>161</v>
      </c>
      <c r="H12" s="19" t="s">
        <v>30</v>
      </c>
      <c r="I12" s="20" t="s">
        <v>175</v>
      </c>
    </row>
    <row r="13" customFormat="false" ht="37.5" hidden="false" customHeight="true" outlineLevel="0" collapsed="false">
      <c r="A13" s="21" t="n">
        <v>10</v>
      </c>
      <c r="B13" s="22" t="s">
        <v>176</v>
      </c>
      <c r="C13" s="23" t="s">
        <v>158</v>
      </c>
      <c r="D13" s="23" t="s">
        <v>177</v>
      </c>
      <c r="E13" s="23" t="s">
        <v>178</v>
      </c>
      <c r="F13" s="26" t="s">
        <v>76</v>
      </c>
      <c r="G13" s="36" t="s">
        <v>161</v>
      </c>
      <c r="H13" s="24" t="s">
        <v>30</v>
      </c>
      <c r="I13" s="25" t="s">
        <v>179</v>
      </c>
    </row>
    <row r="14" customFormat="false" ht="37.5" hidden="false" customHeight="true" outlineLevel="0" collapsed="false">
      <c r="A14" s="14" t="n">
        <v>11</v>
      </c>
      <c r="B14" s="15" t="s">
        <v>180</v>
      </c>
      <c r="C14" s="16" t="s">
        <v>152</v>
      </c>
      <c r="D14" s="16" t="s">
        <v>181</v>
      </c>
      <c r="E14" s="16" t="s">
        <v>182</v>
      </c>
      <c r="F14" s="26" t="s">
        <v>76</v>
      </c>
      <c r="G14" s="35" t="s">
        <v>155</v>
      </c>
      <c r="H14" s="19" t="s">
        <v>30</v>
      </c>
      <c r="I14" s="20" t="s">
        <v>183</v>
      </c>
    </row>
    <row r="15" customFormat="false" ht="37.5" hidden="false" customHeight="true" outlineLevel="0" collapsed="false">
      <c r="A15" s="21" t="n">
        <v>12</v>
      </c>
      <c r="B15" s="22" t="s">
        <v>184</v>
      </c>
      <c r="C15" s="23" t="s">
        <v>168</v>
      </c>
      <c r="D15" s="23" t="s">
        <v>185</v>
      </c>
      <c r="E15" s="23" t="s">
        <v>186</v>
      </c>
      <c r="F15" s="37" t="s">
        <v>187</v>
      </c>
      <c r="G15" s="35" t="s">
        <v>155</v>
      </c>
      <c r="H15" s="24" t="s">
        <v>30</v>
      </c>
      <c r="I15" s="25" t="s">
        <v>188</v>
      </c>
    </row>
    <row r="16" customFormat="false" ht="37.5" hidden="false" customHeight="true" outlineLevel="0" collapsed="false">
      <c r="A16" s="14" t="n">
        <v>13</v>
      </c>
      <c r="B16" s="15" t="s">
        <v>189</v>
      </c>
      <c r="C16" s="16" t="s">
        <v>190</v>
      </c>
      <c r="D16" s="16" t="s">
        <v>191</v>
      </c>
      <c r="E16" s="16" t="s">
        <v>192</v>
      </c>
      <c r="F16" s="37" t="s">
        <v>187</v>
      </c>
      <c r="G16" s="18" t="s">
        <v>29</v>
      </c>
      <c r="H16" s="19" t="s">
        <v>30</v>
      </c>
      <c r="I16" s="20" t="s">
        <v>193</v>
      </c>
    </row>
    <row r="17" customFormat="false" ht="37.5" hidden="false" customHeight="true" outlineLevel="0" collapsed="false">
      <c r="A17" s="21" t="n">
        <v>14</v>
      </c>
      <c r="B17" s="22" t="s">
        <v>194</v>
      </c>
      <c r="C17" s="23" t="s">
        <v>195</v>
      </c>
      <c r="D17" s="23" t="s">
        <v>196</v>
      </c>
      <c r="E17" s="23" t="s">
        <v>197</v>
      </c>
      <c r="F17" s="37" t="s">
        <v>187</v>
      </c>
      <c r="G17" s="35" t="s">
        <v>155</v>
      </c>
      <c r="H17" s="24" t="s">
        <v>30</v>
      </c>
      <c r="I17" s="25" t="s">
        <v>198</v>
      </c>
    </row>
    <row r="18" customFormat="false" ht="37.5" hidden="false" customHeight="true" outlineLevel="0" collapsed="false">
      <c r="A18" s="14" t="n">
        <v>15</v>
      </c>
      <c r="B18" s="15" t="s">
        <v>199</v>
      </c>
      <c r="C18" s="16" t="s">
        <v>200</v>
      </c>
      <c r="D18" s="16" t="s">
        <v>201</v>
      </c>
      <c r="E18" s="16" t="s">
        <v>202</v>
      </c>
      <c r="F18" s="37" t="s">
        <v>187</v>
      </c>
      <c r="G18" s="36" t="s">
        <v>161</v>
      </c>
      <c r="H18" s="19" t="s">
        <v>30</v>
      </c>
      <c r="I18" s="20" t="s">
        <v>203</v>
      </c>
    </row>
    <row r="19" customFormat="false" ht="37.5" hidden="false" customHeight="true" outlineLevel="0" collapsed="false">
      <c r="A19" s="21" t="n">
        <v>16</v>
      </c>
      <c r="B19" s="22" t="s">
        <v>204</v>
      </c>
      <c r="C19" s="23" t="s">
        <v>205</v>
      </c>
      <c r="D19" s="23" t="s">
        <v>206</v>
      </c>
      <c r="E19" s="23" t="s">
        <v>207</v>
      </c>
      <c r="F19" s="38" t="s">
        <v>208</v>
      </c>
      <c r="G19" s="35" t="s">
        <v>155</v>
      </c>
      <c r="H19" s="24" t="s">
        <v>30</v>
      </c>
      <c r="I19" s="25" t="s">
        <v>209</v>
      </c>
    </row>
    <row r="20" customFormat="false" ht="37.5" hidden="false" customHeight="true" outlineLevel="0" collapsed="false">
      <c r="A20" s="14" t="n">
        <v>17</v>
      </c>
      <c r="B20" s="15" t="s">
        <v>210</v>
      </c>
      <c r="C20" s="16" t="s">
        <v>211</v>
      </c>
      <c r="D20" s="16" t="s">
        <v>212</v>
      </c>
      <c r="E20" s="16" t="s">
        <v>213</v>
      </c>
      <c r="F20" s="38" t="s">
        <v>208</v>
      </c>
      <c r="G20" s="18" t="s">
        <v>29</v>
      </c>
      <c r="H20" s="19" t="s">
        <v>30</v>
      </c>
      <c r="I20" s="20" t="s">
        <v>214</v>
      </c>
    </row>
    <row r="21" customFormat="false" ht="37.5" hidden="false" customHeight="true" outlineLevel="0" collapsed="false">
      <c r="A21" s="21" t="n">
        <v>18</v>
      </c>
      <c r="B21" s="22" t="s">
        <v>215</v>
      </c>
      <c r="C21" s="23" t="s">
        <v>216</v>
      </c>
      <c r="D21" s="23" t="s">
        <v>217</v>
      </c>
      <c r="E21" s="23" t="s">
        <v>218</v>
      </c>
      <c r="F21" s="38" t="s">
        <v>208</v>
      </c>
      <c r="G21" s="18" t="s">
        <v>29</v>
      </c>
      <c r="H21" s="24" t="s">
        <v>30</v>
      </c>
      <c r="I21" s="25" t="s">
        <v>219</v>
      </c>
    </row>
  </sheetData>
  <autoFilter ref="A3:I21"/>
  <mergeCells count="1">
    <mergeCell ref="A1:I1"/>
  </mergeCells>
  <conditionalFormatting sqref="H4:H21">
    <cfRule type="cellIs" priority="2" operator="equal" aboveAverage="0" equalAverage="0" bottom="0" percent="0" rank="0" text="" dxfId="0">
      <formula>"Reached Out"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"Submitted"</formula>
    </cfRule>
    <cfRule type="cellIs" priority="5" operator="equal" aboveAverage="0" equalAverage="0" bottom="0" percent="0" rank="0" text="" dxfId="2">
      <formula>"Approved"</formula>
    </cfRule>
    <cfRule type="cellIs" priority="6" operator="equal" aboveAverage="0" equalAverage="0" bottom="0" percent="0" rank="0" text="" dxfId="3">
      <formula>"Rejected"</formula>
    </cfRule>
  </conditionalFormatting>
  <dataValidations count="1">
    <dataValidation allowBlank="true" error="Please pick one of: -, Reached Out, In Progress, Submitted, Approved, Rejected" errorStyle="stop" errorTitle="Invalid status" operator="between" showDropDown="false" showErrorMessage="true" showInputMessage="false" sqref="H4:H21" type="list">
      <formula1>"-,Reached Out,In Progress,Submitted,Approved,Rejected"</formula1>
      <formula2>0</formula2>
    </dataValidation>
  </dataValidations>
  <hyperlinks>
    <hyperlink ref="I4" r:id="rId1" display="https://ised-isde.canada.ca/site/innovative-solutions-canada/en"/>
    <hyperlink ref="I5" r:id="rId2" display="https://nrc.canada.ca/en/support-technology-innovation/financial-support-technology-innovation"/>
    <hyperlink ref="I6" r:id="rId3" display="https://nrc.canada.ca/en/support-technology-innovation/nrc-irap-funding-hire-young-graduates"/>
    <hyperlink ref="I7" r:id="rId4" display="https://www.canada.ca/en/revenue-agency/services/scientific-research-experimental-development-tax-incentive-program.html"/>
    <hyperlink ref="I8" r:id="rId5" display="https://ised-isde.canada.ca/site/ised/en/programs-and-initiatives/women-entrepreneurship-strategy"/>
    <hyperlink ref="I9" r:id="rId6" display="https://www.canada.ca/en/employment-social-development/services/funding/canada-summer-jobs.html"/>
    <hyperlink ref="I10" r:id="rId7" display="https://www.mitacs.ca/our-programs/accelerate/"/>
    <hyperlink ref="I11" r:id="rId8" display="https://www.oc-innovation.ca"/>
    <hyperlink ref="I12" r:id="rId9" display="https://www.ontario.ca/page/ontario-innovation-tax-credit"/>
    <hyperlink ref="I13" r:id="rId10" display="https://www.ontario.ca/page/ontario-interactive-digital-media-tax-credit"/>
    <hyperlink ref="I14" r:id="rId11" display="https://ventureforcanada.ca/programs/internship-program"/>
    <hyperlink ref="I15" r:id="rId12" display="https://www.tradecommissioner.gc.ca/funding-financement/canexport/sme-pme/index.aspx"/>
    <hyperlink ref="I16" r:id="rId13" display="https://ised-isde.canada.ca/site/canada-digital-adoption-program/en"/>
    <hyperlink ref="I17" r:id="rId14" display="https://feddev-ontario.canada.ca"/>
    <hyperlink ref="I18" r:id="rId15" display="https://www.ontario.ca/page/corporations-tax-credits"/>
    <hyperlink ref="I19" r:id="rId16" display="https://digitalmainstreet.ca"/>
    <hyperlink ref="I20" r:id="rId17" display="https://www.ontario.ca/page/starter-company-plus"/>
    <hyperlink ref="I21" r:id="rId18" display="https://ised-isde.canada.ca/site/strategic-innovation-fund/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58"/>
  </cols>
  <sheetData>
    <row r="1" customFormat="false" ht="36" hidden="false" customHeight="true" outlineLevel="0" collapsed="false">
      <c r="A1" s="34" t="s">
        <v>145</v>
      </c>
      <c r="B1" s="34"/>
      <c r="C1" s="34"/>
      <c r="D1" s="34"/>
      <c r="E1" s="34"/>
      <c r="F1" s="34"/>
      <c r="G1" s="34"/>
      <c r="H1" s="34"/>
      <c r="I1" s="34"/>
    </row>
    <row r="3" customFormat="false" ht="30" hidden="false" customHeight="true" outlineLevel="0" collapsed="false">
      <c r="A3" s="13" t="s">
        <v>18</v>
      </c>
      <c r="B3" s="13" t="s">
        <v>19</v>
      </c>
      <c r="C3" s="13" t="s">
        <v>20</v>
      </c>
      <c r="D3" s="13" t="s">
        <v>21</v>
      </c>
      <c r="E3" s="13" t="s">
        <v>22</v>
      </c>
      <c r="F3" s="13" t="s">
        <v>2</v>
      </c>
      <c r="G3" s="13" t="s">
        <v>3</v>
      </c>
      <c r="H3" s="13" t="s">
        <v>4</v>
      </c>
      <c r="I3" s="13" t="s">
        <v>23</v>
      </c>
    </row>
    <row r="4" customFormat="false" ht="37.5" hidden="false" customHeight="true" outlineLevel="0" collapsed="false">
      <c r="A4" s="14" t="n">
        <v>1</v>
      </c>
      <c r="B4" s="15" t="s">
        <v>32</v>
      </c>
      <c r="C4" s="16" t="s">
        <v>33</v>
      </c>
      <c r="D4" s="16" t="s">
        <v>34</v>
      </c>
      <c r="E4" s="16" t="s">
        <v>35</v>
      </c>
      <c r="F4" s="17" t="s">
        <v>28</v>
      </c>
      <c r="G4" s="18" t="s">
        <v>29</v>
      </c>
      <c r="H4" s="19" t="str">
        <f aca="false">'Start Here'!H14</f>
        <v>-</v>
      </c>
      <c r="I4" s="20" t="s">
        <v>36</v>
      </c>
    </row>
    <row r="5" customFormat="false" ht="37.5" hidden="false" customHeight="true" outlineLevel="0" collapsed="false">
      <c r="A5" s="21" t="n">
        <v>2</v>
      </c>
      <c r="B5" s="22" t="s">
        <v>42</v>
      </c>
      <c r="C5" s="23" t="s">
        <v>43</v>
      </c>
      <c r="D5" s="23" t="s">
        <v>44</v>
      </c>
      <c r="E5" s="23" t="s">
        <v>45</v>
      </c>
      <c r="F5" s="17" t="s">
        <v>28</v>
      </c>
      <c r="G5" s="18" t="s">
        <v>29</v>
      </c>
      <c r="H5" s="24" t="str">
        <f aca="false">'Start Here'!H16</f>
        <v>-</v>
      </c>
      <c r="I5" s="25" t="s">
        <v>46</v>
      </c>
    </row>
    <row r="6" customFormat="false" ht="37.5" hidden="false" customHeight="true" outlineLevel="0" collapsed="false">
      <c r="A6" s="14" t="n">
        <v>3</v>
      </c>
      <c r="B6" s="15" t="s">
        <v>62</v>
      </c>
      <c r="C6" s="16" t="s">
        <v>58</v>
      </c>
      <c r="D6" s="16" t="s">
        <v>63</v>
      </c>
      <c r="E6" s="16" t="s">
        <v>64</v>
      </c>
      <c r="F6" s="17" t="s">
        <v>28</v>
      </c>
      <c r="G6" s="18" t="s">
        <v>29</v>
      </c>
      <c r="H6" s="18" t="str">
        <f aca="false">'Start Here'!H20</f>
        <v>Submitted</v>
      </c>
      <c r="I6" s="20" t="s">
        <v>66</v>
      </c>
    </row>
    <row r="7" customFormat="false" ht="37.5" hidden="false" customHeight="true" outlineLevel="0" collapsed="false">
      <c r="A7" s="21" t="n">
        <v>4</v>
      </c>
      <c r="B7" s="22" t="s">
        <v>82</v>
      </c>
      <c r="C7" s="23" t="s">
        <v>83</v>
      </c>
      <c r="D7" s="23" t="s">
        <v>84</v>
      </c>
      <c r="E7" s="23" t="s">
        <v>85</v>
      </c>
      <c r="F7" s="26" t="s">
        <v>76</v>
      </c>
      <c r="G7" s="18" t="s">
        <v>29</v>
      </c>
      <c r="H7" s="26" t="str">
        <f aca="false">'Start Here'!H24</f>
        <v>In Progress</v>
      </c>
      <c r="I7" s="25" t="s">
        <v>87</v>
      </c>
    </row>
    <row r="8" customFormat="false" ht="37.5" hidden="false" customHeight="true" outlineLevel="0" collapsed="false">
      <c r="A8" s="14" t="n">
        <v>5</v>
      </c>
      <c r="B8" s="15" t="s">
        <v>220</v>
      </c>
      <c r="C8" s="16" t="s">
        <v>58</v>
      </c>
      <c r="D8" s="16" t="s">
        <v>221</v>
      </c>
      <c r="E8" s="16" t="s">
        <v>222</v>
      </c>
      <c r="F8" s="37" t="s">
        <v>187</v>
      </c>
      <c r="G8" s="18" t="s">
        <v>29</v>
      </c>
      <c r="H8" s="19" t="s">
        <v>30</v>
      </c>
      <c r="I8" s="20" t="s">
        <v>223</v>
      </c>
    </row>
    <row r="9" customFormat="false" ht="37.5" hidden="false" customHeight="true" outlineLevel="0" collapsed="false">
      <c r="A9" s="21" t="n">
        <v>6</v>
      </c>
      <c r="B9" s="22" t="s">
        <v>224</v>
      </c>
      <c r="C9" s="23" t="s">
        <v>58</v>
      </c>
      <c r="D9" s="23" t="s">
        <v>225</v>
      </c>
      <c r="E9" s="23" t="s">
        <v>226</v>
      </c>
      <c r="F9" s="37" t="s">
        <v>187</v>
      </c>
      <c r="G9" s="18" t="s">
        <v>29</v>
      </c>
      <c r="H9" s="24" t="s">
        <v>30</v>
      </c>
      <c r="I9" s="25" t="s">
        <v>227</v>
      </c>
    </row>
    <row r="10" customFormat="false" ht="37.5" hidden="false" customHeight="true" outlineLevel="0" collapsed="false">
      <c r="A10" s="14" t="n">
        <v>7</v>
      </c>
      <c r="B10" s="15" t="s">
        <v>228</v>
      </c>
      <c r="C10" s="16" t="s">
        <v>58</v>
      </c>
      <c r="D10" s="16" t="s">
        <v>229</v>
      </c>
      <c r="E10" s="16" t="s">
        <v>230</v>
      </c>
      <c r="F10" s="37" t="s">
        <v>187</v>
      </c>
      <c r="G10" s="18" t="s">
        <v>29</v>
      </c>
      <c r="H10" s="19" t="s">
        <v>30</v>
      </c>
      <c r="I10" s="20" t="s">
        <v>231</v>
      </c>
    </row>
    <row r="11" customFormat="false" ht="37.5" hidden="false" customHeight="true" outlineLevel="0" collapsed="false">
      <c r="A11" s="21" t="n">
        <v>8</v>
      </c>
      <c r="B11" s="22" t="s">
        <v>232</v>
      </c>
      <c r="C11" s="23" t="s">
        <v>58</v>
      </c>
      <c r="D11" s="23" t="s">
        <v>90</v>
      </c>
      <c r="E11" s="23" t="s">
        <v>233</v>
      </c>
      <c r="F11" s="38" t="s">
        <v>208</v>
      </c>
      <c r="G11" s="18" t="s">
        <v>29</v>
      </c>
      <c r="H11" s="24" t="s">
        <v>30</v>
      </c>
      <c r="I11" s="25" t="s">
        <v>234</v>
      </c>
    </row>
    <row r="12" customFormat="false" ht="37.5" hidden="false" customHeight="true" outlineLevel="0" collapsed="false">
      <c r="A12" s="14" t="n">
        <v>9</v>
      </c>
      <c r="B12" s="15" t="s">
        <v>235</v>
      </c>
      <c r="C12" s="16" t="s">
        <v>236</v>
      </c>
      <c r="D12" s="16" t="s">
        <v>237</v>
      </c>
      <c r="E12" s="16" t="s">
        <v>238</v>
      </c>
      <c r="F12" s="38" t="s">
        <v>208</v>
      </c>
      <c r="G12" s="18" t="s">
        <v>29</v>
      </c>
      <c r="H12" s="19" t="s">
        <v>30</v>
      </c>
      <c r="I12" s="20" t="s">
        <v>239</v>
      </c>
    </row>
  </sheetData>
  <autoFilter ref="A3:I12"/>
  <mergeCells count="1">
    <mergeCell ref="A1:I1"/>
  </mergeCells>
  <conditionalFormatting sqref="H4:H12">
    <cfRule type="cellIs" priority="2" operator="equal" aboveAverage="0" equalAverage="0" bottom="0" percent="0" rank="0" text="" dxfId="0">
      <formula>"Reached Out"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"Submitted"</formula>
    </cfRule>
    <cfRule type="cellIs" priority="5" operator="equal" aboveAverage="0" equalAverage="0" bottom="0" percent="0" rank="0" text="" dxfId="2">
      <formula>"Approved"</formula>
    </cfRule>
    <cfRule type="cellIs" priority="6" operator="equal" aboveAverage="0" equalAverage="0" bottom="0" percent="0" rank="0" text="" dxfId="3">
      <formula>"Rejected"</formula>
    </cfRule>
  </conditionalFormatting>
  <dataValidations count="1">
    <dataValidation allowBlank="true" error="Please pick one of: -, Reached Out, In Progress, Submitted, Approved, Rejected" errorStyle="stop" errorTitle="Invalid status" operator="between" showDropDown="false" showErrorMessage="true" showInputMessage="false" sqref="H4:H12" type="list">
      <formula1>"-,Reached Out,In Progress,Submitted,Approved,Rejected"</formula1>
      <formula2>0</formula2>
    </dataValidation>
  </dataValidations>
  <hyperlinks>
    <hyperlink ref="I4" r:id="rId1" display="https://www.bdc.ca/en/i-am/newcomer-entrepreneur"/>
    <hyperlink ref="I5" r:id="rId2" display="https://futurpreneur.ca/en/eligibility/"/>
    <hyperlink ref="I6" r:id="rId3" display="https://weoc.ca/loan-program/"/>
    <hyperlink ref="I7" r:id="rId4" display="https://ised-isde.canada.ca/site/canada-small-business-financing-program/en"/>
    <hyperlink ref="I8" r:id="rId5" display="https://www.bdc.ca"/>
    <hyperlink ref="I9" r:id="rId6" display="https://www.bdc.ca/en/financing/small-business-loan"/>
    <hyperlink ref="I10" r:id="rId7" display="https://www.bdc.ca/en/financing/business-loans/technology-financing"/>
    <hyperlink ref="I11" r:id="rId8" display="https://communityfuturesontario.ca"/>
    <hyperlink ref="I12" r:id="rId9" display="https://www.edc.c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58"/>
  </cols>
  <sheetData>
    <row r="1" customFormat="false" ht="36" hidden="false" customHeight="true" outlineLevel="0" collapsed="false">
      <c r="A1" s="34" t="s">
        <v>146</v>
      </c>
      <c r="B1" s="34"/>
      <c r="C1" s="34"/>
      <c r="D1" s="34"/>
      <c r="E1" s="34"/>
      <c r="F1" s="34"/>
      <c r="G1" s="34"/>
      <c r="H1" s="34"/>
      <c r="I1" s="34"/>
    </row>
    <row r="3" customFormat="false" ht="30" hidden="false" customHeight="true" outlineLevel="0" collapsed="false">
      <c r="A3" s="13" t="s">
        <v>18</v>
      </c>
      <c r="B3" s="13" t="s">
        <v>19</v>
      </c>
      <c r="C3" s="13" t="s">
        <v>20</v>
      </c>
      <c r="D3" s="13" t="s">
        <v>21</v>
      </c>
      <c r="E3" s="13" t="s">
        <v>22</v>
      </c>
      <c r="F3" s="13" t="s">
        <v>2</v>
      </c>
      <c r="G3" s="13" t="s">
        <v>3</v>
      </c>
      <c r="H3" s="13" t="s">
        <v>4</v>
      </c>
      <c r="I3" s="13" t="s">
        <v>23</v>
      </c>
    </row>
    <row r="4" customFormat="false" ht="37.5" hidden="false" customHeight="true" outlineLevel="0" collapsed="false">
      <c r="A4" s="14" t="n">
        <v>1</v>
      </c>
      <c r="B4" s="15" t="s">
        <v>72</v>
      </c>
      <c r="C4" s="16" t="s">
        <v>73</v>
      </c>
      <c r="D4" s="16" t="s">
        <v>74</v>
      </c>
      <c r="E4" s="16" t="s">
        <v>75</v>
      </c>
      <c r="F4" s="26" t="s">
        <v>76</v>
      </c>
      <c r="G4" s="18" t="s">
        <v>29</v>
      </c>
      <c r="H4" s="19" t="str">
        <f aca="false">'Start Here'!H22</f>
        <v>-</v>
      </c>
      <c r="I4" s="20" t="s">
        <v>77</v>
      </c>
    </row>
    <row r="5" customFormat="false" ht="37.5" hidden="false" customHeight="true" outlineLevel="0" collapsed="false">
      <c r="A5" s="21" t="n">
        <v>2</v>
      </c>
      <c r="B5" s="22" t="s">
        <v>102</v>
      </c>
      <c r="C5" s="23" t="s">
        <v>73</v>
      </c>
      <c r="D5" s="23" t="s">
        <v>103</v>
      </c>
      <c r="E5" s="23" t="s">
        <v>75</v>
      </c>
      <c r="F5" s="26" t="s">
        <v>76</v>
      </c>
      <c r="G5" s="18" t="s">
        <v>29</v>
      </c>
      <c r="H5" s="24" t="str">
        <f aca="false">'Start Here'!H28</f>
        <v>-</v>
      </c>
      <c r="I5" s="25" t="s">
        <v>104</v>
      </c>
    </row>
    <row r="6" customFormat="false" ht="37.5" hidden="false" customHeight="true" outlineLevel="0" collapsed="false">
      <c r="A6" s="14" t="n">
        <v>3</v>
      </c>
      <c r="B6" s="15" t="s">
        <v>109</v>
      </c>
      <c r="C6" s="16" t="s">
        <v>110</v>
      </c>
      <c r="D6" s="16" t="s">
        <v>111</v>
      </c>
      <c r="E6" s="16" t="s">
        <v>75</v>
      </c>
      <c r="F6" s="26" t="s">
        <v>76</v>
      </c>
      <c r="G6" s="18" t="s">
        <v>29</v>
      </c>
      <c r="H6" s="19" t="str">
        <f aca="false">'Start Here'!H30</f>
        <v>-</v>
      </c>
      <c r="I6" s="20" t="s">
        <v>112</v>
      </c>
    </row>
    <row r="7" customFormat="false" ht="37.5" hidden="false" customHeight="true" outlineLevel="0" collapsed="false">
      <c r="A7" s="21" t="n">
        <v>4</v>
      </c>
      <c r="B7" s="22" t="s">
        <v>240</v>
      </c>
      <c r="C7" s="23" t="s">
        <v>73</v>
      </c>
      <c r="D7" s="23" t="s">
        <v>241</v>
      </c>
      <c r="E7" s="23" t="s">
        <v>75</v>
      </c>
      <c r="F7" s="37" t="s">
        <v>187</v>
      </c>
      <c r="G7" s="18" t="s">
        <v>29</v>
      </c>
      <c r="H7" s="24" t="s">
        <v>30</v>
      </c>
      <c r="I7" s="25" t="s">
        <v>242</v>
      </c>
    </row>
    <row r="8" customFormat="false" ht="37.5" hidden="false" customHeight="true" outlineLevel="0" collapsed="false">
      <c r="A8" s="14" t="n">
        <v>5</v>
      </c>
      <c r="B8" s="15" t="s">
        <v>243</v>
      </c>
      <c r="C8" s="16" t="s">
        <v>73</v>
      </c>
      <c r="D8" s="16" t="s">
        <v>244</v>
      </c>
      <c r="E8" s="16" t="s">
        <v>75</v>
      </c>
      <c r="F8" s="37" t="s">
        <v>187</v>
      </c>
      <c r="G8" s="18" t="s">
        <v>29</v>
      </c>
      <c r="H8" s="19" t="s">
        <v>30</v>
      </c>
      <c r="I8" s="20" t="s">
        <v>245</v>
      </c>
    </row>
    <row r="9" customFormat="false" ht="37.5" hidden="false" customHeight="true" outlineLevel="0" collapsed="false">
      <c r="A9" s="21" t="n">
        <v>6</v>
      </c>
      <c r="B9" s="22" t="s">
        <v>246</v>
      </c>
      <c r="C9" s="23" t="s">
        <v>247</v>
      </c>
      <c r="D9" s="23" t="s">
        <v>134</v>
      </c>
      <c r="E9" s="23" t="s">
        <v>248</v>
      </c>
      <c r="F9" s="37" t="s">
        <v>187</v>
      </c>
      <c r="G9" s="18" t="s">
        <v>29</v>
      </c>
      <c r="H9" s="24" t="s">
        <v>30</v>
      </c>
      <c r="I9" s="25" t="s">
        <v>249</v>
      </c>
    </row>
    <row r="10" customFormat="false" ht="37.5" hidden="false" customHeight="true" outlineLevel="0" collapsed="false">
      <c r="A10" s="14" t="n">
        <v>7</v>
      </c>
      <c r="B10" s="15" t="s">
        <v>250</v>
      </c>
      <c r="C10" s="16" t="s">
        <v>73</v>
      </c>
      <c r="D10" s="16" t="s">
        <v>241</v>
      </c>
      <c r="E10" s="16" t="s">
        <v>75</v>
      </c>
      <c r="F10" s="37" t="s">
        <v>187</v>
      </c>
      <c r="G10" s="18" t="s">
        <v>29</v>
      </c>
      <c r="H10" s="19" t="s">
        <v>30</v>
      </c>
      <c r="I10" s="20" t="s">
        <v>251</v>
      </c>
    </row>
  </sheetData>
  <autoFilter ref="A3:I10"/>
  <mergeCells count="1">
    <mergeCell ref="A1:I1"/>
  </mergeCells>
  <conditionalFormatting sqref="H4:H10">
    <cfRule type="cellIs" priority="2" operator="equal" aboveAverage="0" equalAverage="0" bottom="0" percent="0" rank="0" text="" dxfId="0">
      <formula>"Reached Out"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"Submitted"</formula>
    </cfRule>
    <cfRule type="cellIs" priority="5" operator="equal" aboveAverage="0" equalAverage="0" bottom="0" percent="0" rank="0" text="" dxfId="2">
      <formula>"Approved"</formula>
    </cfRule>
    <cfRule type="cellIs" priority="6" operator="equal" aboveAverage="0" equalAverage="0" bottom="0" percent="0" rank="0" text="" dxfId="3">
      <formula>"Rejected"</formula>
    </cfRule>
  </conditionalFormatting>
  <dataValidations count="1">
    <dataValidation allowBlank="true" error="Please pick one of: -, Reached Out, In Progress, Submitted, Approved, Rejected" errorStyle="stop" errorTitle="Invalid status" operator="between" showDropDown="false" showErrorMessage="true" showInputMessage="false" sqref="H4:H10" type="list">
      <formula1>"-,Reached Out,In Progress,Submitted,Approved,Rejected"</formula1>
      <formula2>0</formula2>
    </dataValidation>
  </dataValidations>
  <hyperlinks>
    <hyperlink ref="I4" r:id="rId1" display="https://www.angelonenetwork.ca"/>
    <hyperlink ref="I5" r:id="rId2" display="https://www.mapleleafangels.com"/>
    <hyperlink ref="I6" r:id="rId3" display="https://www.nacocanada.com"/>
    <hyperlink ref="I7" r:id="rId4" display="https://equationangels.com"/>
    <hyperlink ref="I8" r:id="rId5" display="https://www.gtan.ca"/>
    <hyperlink ref="I9" r:id="rId6" display="https://www.keiretsuforum.com"/>
    <hyperlink ref="I10" r:id="rId7" display="https://www.yorkangels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58"/>
  </cols>
  <sheetData>
    <row r="1" customFormat="false" ht="36" hidden="false" customHeight="true" outlineLevel="0" collapsed="false">
      <c r="A1" s="34" t="s">
        <v>94</v>
      </c>
      <c r="B1" s="34"/>
      <c r="C1" s="34"/>
      <c r="D1" s="34"/>
      <c r="E1" s="34"/>
      <c r="F1" s="34"/>
      <c r="G1" s="34"/>
      <c r="H1" s="34"/>
      <c r="I1" s="34"/>
    </row>
    <row r="3" customFormat="false" ht="30" hidden="false" customHeight="true" outlineLevel="0" collapsed="false">
      <c r="A3" s="13" t="s">
        <v>18</v>
      </c>
      <c r="B3" s="13" t="s">
        <v>19</v>
      </c>
      <c r="C3" s="13" t="s">
        <v>20</v>
      </c>
      <c r="D3" s="13" t="s">
        <v>21</v>
      </c>
      <c r="E3" s="13" t="s">
        <v>22</v>
      </c>
      <c r="F3" s="13" t="s">
        <v>2</v>
      </c>
      <c r="G3" s="13" t="s">
        <v>3</v>
      </c>
      <c r="H3" s="13" t="s">
        <v>4</v>
      </c>
      <c r="I3" s="13" t="s">
        <v>23</v>
      </c>
    </row>
    <row r="4" customFormat="false" ht="37.5" hidden="false" customHeight="true" outlineLevel="0" collapsed="false">
      <c r="A4" s="14" t="n">
        <v>1</v>
      </c>
      <c r="B4" s="15" t="s">
        <v>93</v>
      </c>
      <c r="C4" s="16" t="s">
        <v>94</v>
      </c>
      <c r="D4" s="16" t="s">
        <v>95</v>
      </c>
      <c r="E4" s="16" t="s">
        <v>75</v>
      </c>
      <c r="F4" s="26" t="s">
        <v>76</v>
      </c>
      <c r="G4" s="18" t="s">
        <v>29</v>
      </c>
      <c r="H4" s="19" t="str">
        <f aca="false">'Start Here'!H26</f>
        <v>-</v>
      </c>
      <c r="I4" s="20" t="s">
        <v>96</v>
      </c>
    </row>
    <row r="5" customFormat="false" ht="37.5" hidden="false" customHeight="true" outlineLevel="0" collapsed="false">
      <c r="A5" s="21" t="n">
        <v>2</v>
      </c>
      <c r="B5" s="22" t="s">
        <v>128</v>
      </c>
      <c r="C5" s="23" t="s">
        <v>94</v>
      </c>
      <c r="D5" s="23" t="s">
        <v>129</v>
      </c>
      <c r="E5" s="23" t="s">
        <v>130</v>
      </c>
      <c r="F5" s="26" t="s">
        <v>76</v>
      </c>
      <c r="G5" s="18" t="s">
        <v>29</v>
      </c>
      <c r="H5" s="24" t="str">
        <f aca="false">'Start Here'!H34</f>
        <v>-</v>
      </c>
      <c r="I5" s="25" t="s">
        <v>131</v>
      </c>
    </row>
    <row r="6" customFormat="false" ht="37.5" hidden="false" customHeight="true" outlineLevel="0" collapsed="false">
      <c r="A6" s="14" t="n">
        <v>3</v>
      </c>
      <c r="B6" s="15" t="s">
        <v>137</v>
      </c>
      <c r="C6" s="16" t="s">
        <v>94</v>
      </c>
      <c r="D6" s="16" t="s">
        <v>138</v>
      </c>
      <c r="E6" s="16" t="s">
        <v>139</v>
      </c>
      <c r="F6" s="26" t="s">
        <v>76</v>
      </c>
      <c r="G6" s="18" t="s">
        <v>29</v>
      </c>
      <c r="H6" s="19" t="str">
        <f aca="false">'Start Here'!H36</f>
        <v>-</v>
      </c>
      <c r="I6" s="20" t="s">
        <v>140</v>
      </c>
    </row>
    <row r="7" customFormat="false" ht="37.5" hidden="false" customHeight="true" outlineLevel="0" collapsed="false">
      <c r="A7" s="21" t="n">
        <v>4</v>
      </c>
      <c r="B7" s="22" t="s">
        <v>252</v>
      </c>
      <c r="C7" s="23" t="s">
        <v>94</v>
      </c>
      <c r="D7" s="23" t="s">
        <v>237</v>
      </c>
      <c r="E7" s="23" t="s">
        <v>75</v>
      </c>
      <c r="F7" s="37" t="s">
        <v>187</v>
      </c>
      <c r="G7" s="18" t="s">
        <v>29</v>
      </c>
      <c r="H7" s="24" t="s">
        <v>30</v>
      </c>
      <c r="I7" s="25" t="s">
        <v>253</v>
      </c>
    </row>
    <row r="8" customFormat="false" ht="37.5" hidden="false" customHeight="true" outlineLevel="0" collapsed="false">
      <c r="A8" s="14" t="n">
        <v>5</v>
      </c>
      <c r="B8" s="15" t="s">
        <v>254</v>
      </c>
      <c r="C8" s="16" t="s">
        <v>94</v>
      </c>
      <c r="D8" s="16" t="s">
        <v>255</v>
      </c>
      <c r="E8" s="16" t="s">
        <v>248</v>
      </c>
      <c r="F8" s="37" t="s">
        <v>187</v>
      </c>
      <c r="G8" s="18" t="s">
        <v>29</v>
      </c>
      <c r="H8" s="19" t="s">
        <v>30</v>
      </c>
      <c r="I8" s="20" t="s">
        <v>256</v>
      </c>
    </row>
    <row r="9" customFormat="false" ht="37.5" hidden="false" customHeight="true" outlineLevel="0" collapsed="false">
      <c r="A9" s="21" t="n">
        <v>6</v>
      </c>
      <c r="B9" s="22" t="s">
        <v>257</v>
      </c>
      <c r="C9" s="23" t="s">
        <v>94</v>
      </c>
      <c r="D9" s="23" t="s">
        <v>258</v>
      </c>
      <c r="E9" s="23" t="s">
        <v>75</v>
      </c>
      <c r="F9" s="37" t="s">
        <v>187</v>
      </c>
      <c r="G9" s="18" t="s">
        <v>29</v>
      </c>
      <c r="H9" s="24" t="s">
        <v>30</v>
      </c>
      <c r="I9" s="25" t="s">
        <v>259</v>
      </c>
    </row>
    <row r="10" customFormat="false" ht="37.5" hidden="false" customHeight="true" outlineLevel="0" collapsed="false">
      <c r="A10" s="14" t="n">
        <v>7</v>
      </c>
      <c r="B10" s="15" t="s">
        <v>260</v>
      </c>
      <c r="C10" s="16" t="s">
        <v>94</v>
      </c>
      <c r="D10" s="16" t="s">
        <v>261</v>
      </c>
      <c r="E10" s="16" t="s">
        <v>248</v>
      </c>
      <c r="F10" s="37" t="s">
        <v>187</v>
      </c>
      <c r="G10" s="18" t="s">
        <v>29</v>
      </c>
      <c r="H10" s="19" t="s">
        <v>30</v>
      </c>
      <c r="I10" s="20" t="s">
        <v>262</v>
      </c>
    </row>
    <row r="11" customFormat="false" ht="37.5" hidden="false" customHeight="true" outlineLevel="0" collapsed="false">
      <c r="A11" s="21" t="n">
        <v>8</v>
      </c>
      <c r="B11" s="22" t="s">
        <v>263</v>
      </c>
      <c r="C11" s="23" t="s">
        <v>94</v>
      </c>
      <c r="D11" s="23" t="s">
        <v>255</v>
      </c>
      <c r="E11" s="23" t="s">
        <v>248</v>
      </c>
      <c r="F11" s="37" t="s">
        <v>187</v>
      </c>
      <c r="G11" s="18" t="s">
        <v>29</v>
      </c>
      <c r="H11" s="24" t="s">
        <v>30</v>
      </c>
      <c r="I11" s="25" t="s">
        <v>264</v>
      </c>
    </row>
    <row r="12" customFormat="false" ht="37.5" hidden="false" customHeight="true" outlineLevel="0" collapsed="false">
      <c r="A12" s="14" t="n">
        <v>9</v>
      </c>
      <c r="B12" s="15" t="s">
        <v>265</v>
      </c>
      <c r="C12" s="16" t="s">
        <v>94</v>
      </c>
      <c r="D12" s="16" t="s">
        <v>266</v>
      </c>
      <c r="E12" s="16" t="s">
        <v>267</v>
      </c>
      <c r="F12" s="37" t="s">
        <v>187</v>
      </c>
      <c r="G12" s="18" t="s">
        <v>29</v>
      </c>
      <c r="H12" s="19" t="s">
        <v>30</v>
      </c>
      <c r="I12" s="20" t="s">
        <v>268</v>
      </c>
    </row>
    <row r="13" customFormat="false" ht="37.5" hidden="false" customHeight="true" outlineLevel="0" collapsed="false">
      <c r="A13" s="21" t="n">
        <v>10</v>
      </c>
      <c r="B13" s="22" t="s">
        <v>269</v>
      </c>
      <c r="C13" s="23" t="s">
        <v>94</v>
      </c>
      <c r="D13" s="23" t="s">
        <v>270</v>
      </c>
      <c r="E13" s="23" t="s">
        <v>271</v>
      </c>
      <c r="F13" s="37" t="s">
        <v>187</v>
      </c>
      <c r="G13" s="18" t="s">
        <v>29</v>
      </c>
      <c r="H13" s="24" t="s">
        <v>30</v>
      </c>
      <c r="I13" s="25" t="s">
        <v>272</v>
      </c>
    </row>
    <row r="14" customFormat="false" ht="37.5" hidden="false" customHeight="true" outlineLevel="0" collapsed="false">
      <c r="A14" s="14" t="n">
        <v>11</v>
      </c>
      <c r="B14" s="15" t="s">
        <v>273</v>
      </c>
      <c r="C14" s="16" t="s">
        <v>94</v>
      </c>
      <c r="D14" s="16" t="s">
        <v>134</v>
      </c>
      <c r="E14" s="16" t="s">
        <v>75</v>
      </c>
      <c r="F14" s="37" t="s">
        <v>187</v>
      </c>
      <c r="G14" s="18" t="s">
        <v>29</v>
      </c>
      <c r="H14" s="19" t="s">
        <v>30</v>
      </c>
      <c r="I14" s="20" t="s">
        <v>274</v>
      </c>
    </row>
    <row r="15" customFormat="false" ht="37.5" hidden="false" customHeight="true" outlineLevel="0" collapsed="false">
      <c r="A15" s="21" t="n">
        <v>12</v>
      </c>
      <c r="B15" s="22" t="s">
        <v>275</v>
      </c>
      <c r="C15" s="23" t="s">
        <v>94</v>
      </c>
      <c r="D15" s="23" t="s">
        <v>129</v>
      </c>
      <c r="E15" s="23" t="s">
        <v>75</v>
      </c>
      <c r="F15" s="37" t="s">
        <v>187</v>
      </c>
      <c r="G15" s="18" t="s">
        <v>29</v>
      </c>
      <c r="H15" s="24" t="s">
        <v>30</v>
      </c>
      <c r="I15" s="25" t="s">
        <v>276</v>
      </c>
    </row>
    <row r="16" customFormat="false" ht="37.5" hidden="false" customHeight="true" outlineLevel="0" collapsed="false">
      <c r="A16" s="14" t="n">
        <v>13</v>
      </c>
      <c r="B16" s="15" t="s">
        <v>277</v>
      </c>
      <c r="C16" s="16" t="s">
        <v>94</v>
      </c>
      <c r="D16" s="16" t="s">
        <v>134</v>
      </c>
      <c r="E16" s="16" t="s">
        <v>267</v>
      </c>
      <c r="F16" s="37" t="s">
        <v>187</v>
      </c>
      <c r="G16" s="18" t="s">
        <v>29</v>
      </c>
      <c r="H16" s="19" t="s">
        <v>30</v>
      </c>
      <c r="I16" s="20" t="s">
        <v>278</v>
      </c>
    </row>
    <row r="17" customFormat="false" ht="37.5" hidden="false" customHeight="true" outlineLevel="0" collapsed="false">
      <c r="A17" s="21" t="n">
        <v>14</v>
      </c>
      <c r="B17" s="22" t="s">
        <v>279</v>
      </c>
      <c r="C17" s="23" t="s">
        <v>94</v>
      </c>
      <c r="D17" s="23" t="s">
        <v>266</v>
      </c>
      <c r="E17" s="23" t="s">
        <v>267</v>
      </c>
      <c r="F17" s="37" t="s">
        <v>187</v>
      </c>
      <c r="G17" s="18" t="s">
        <v>29</v>
      </c>
      <c r="H17" s="24" t="s">
        <v>30</v>
      </c>
      <c r="I17" s="25" t="s">
        <v>280</v>
      </c>
    </row>
    <row r="18" customFormat="false" ht="37.5" hidden="false" customHeight="true" outlineLevel="0" collapsed="false">
      <c r="A18" s="14" t="n">
        <v>15</v>
      </c>
      <c r="B18" s="15" t="s">
        <v>281</v>
      </c>
      <c r="C18" s="16" t="s">
        <v>282</v>
      </c>
      <c r="D18" s="16" t="s">
        <v>283</v>
      </c>
      <c r="E18" s="16" t="s">
        <v>284</v>
      </c>
      <c r="F18" s="38" t="s">
        <v>208</v>
      </c>
      <c r="G18" s="18" t="s">
        <v>29</v>
      </c>
      <c r="H18" s="19" t="s">
        <v>30</v>
      </c>
      <c r="I18" s="20" t="s">
        <v>285</v>
      </c>
    </row>
    <row r="19" customFormat="false" ht="37.5" hidden="false" customHeight="true" outlineLevel="0" collapsed="false">
      <c r="A19" s="21" t="n">
        <v>16</v>
      </c>
      <c r="B19" s="22" t="s">
        <v>286</v>
      </c>
      <c r="C19" s="23" t="s">
        <v>94</v>
      </c>
      <c r="D19" s="23" t="s">
        <v>287</v>
      </c>
      <c r="E19" s="23" t="s">
        <v>288</v>
      </c>
      <c r="F19" s="38" t="s">
        <v>208</v>
      </c>
      <c r="G19" s="18" t="s">
        <v>29</v>
      </c>
      <c r="H19" s="24" t="s">
        <v>30</v>
      </c>
      <c r="I19" s="25" t="s">
        <v>289</v>
      </c>
    </row>
    <row r="20" customFormat="false" ht="37.5" hidden="false" customHeight="true" outlineLevel="0" collapsed="false">
      <c r="A20" s="14" t="n">
        <v>17</v>
      </c>
      <c r="B20" s="15" t="s">
        <v>290</v>
      </c>
      <c r="C20" s="16" t="s">
        <v>291</v>
      </c>
      <c r="D20" s="16" t="s">
        <v>138</v>
      </c>
      <c r="E20" s="16" t="s">
        <v>248</v>
      </c>
      <c r="F20" s="38" t="s">
        <v>208</v>
      </c>
      <c r="G20" s="18" t="s">
        <v>29</v>
      </c>
      <c r="H20" s="19" t="s">
        <v>30</v>
      </c>
      <c r="I20" s="20" t="s">
        <v>292</v>
      </c>
    </row>
  </sheetData>
  <autoFilter ref="A3:I20"/>
  <mergeCells count="1">
    <mergeCell ref="A1:I1"/>
  </mergeCells>
  <conditionalFormatting sqref="H4:H20">
    <cfRule type="cellIs" priority="2" operator="equal" aboveAverage="0" equalAverage="0" bottom="0" percent="0" rank="0" text="" dxfId="0">
      <formula>"Reached Out"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"Submitted"</formula>
    </cfRule>
    <cfRule type="cellIs" priority="5" operator="equal" aboveAverage="0" equalAverage="0" bottom="0" percent="0" rank="0" text="" dxfId="2">
      <formula>"Approved"</formula>
    </cfRule>
    <cfRule type="cellIs" priority="6" operator="equal" aboveAverage="0" equalAverage="0" bottom="0" percent="0" rank="0" text="" dxfId="3">
      <formula>"Rejected"</formula>
    </cfRule>
  </conditionalFormatting>
  <dataValidations count="1">
    <dataValidation allowBlank="true" error="Please pick one of: -, Reached Out, In Progress, Submitted, Approved, Rejected" errorStyle="stop" errorTitle="Invalid status" operator="between" showDropDown="false" showErrorMessage="true" showInputMessage="false" sqref="H4:H20" type="list">
      <formula1>"-,Reached Out,In Progress,Submitted,Approved,Rejected"</formula1>
      <formula2>0</formula2>
    </dataValidation>
  </dataValidations>
  <hyperlinks>
    <hyperlink ref="I4" r:id="rId1" display="https://garage.co"/>
    <hyperlink ref="I5" r:id="rId2" display="https://www.panache.vc"/>
    <hyperlink ref="I6" r:id="rId3" display="https://www.relayventures.com"/>
    <hyperlink ref="I7" r:id="rId4" display="https://bkrcapital.com"/>
    <hyperlink ref="I8" r:id="rId5" display="https://www.brightspark.com"/>
    <hyperlink ref="I9" r:id="rId6" display="https://dreammakerventures.com"/>
    <hyperlink ref="I10" r:id="rId7" display="https://extremevp.com"/>
    <hyperlink ref="I11" r:id="rId8" display="https://frameworkvc.com"/>
    <hyperlink ref="I12" r:id="rId9" display="https://golden.ventures"/>
    <hyperlink ref="I13" r:id="rId10" display="https://inovia.vc"/>
    <hyperlink ref="I14" r:id="rId11" display="https://realventures.com"/>
    <hyperlink ref="I15" r:id="rId12" display="https://www.rippleventures.com"/>
    <hyperlink ref="I16" r:id="rId13" display="https://twosmallfish.vc"/>
    <hyperlink ref="I17" r:id="rId14" display="https://versionone.vc"/>
    <hyperlink ref="I18" r:id="rId15" display="https://omersventures.com"/>
    <hyperlink ref="I19" r:id="rId16" display="https://round13.com"/>
    <hyperlink ref="I20" r:id="rId17" display="https://www.telusventures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58"/>
  </cols>
  <sheetData>
    <row r="1" customFormat="false" ht="36" hidden="false" customHeight="true" outlineLevel="0" collapsed="false">
      <c r="A1" s="34" t="s">
        <v>147</v>
      </c>
      <c r="B1" s="34"/>
      <c r="C1" s="34"/>
      <c r="D1" s="34"/>
      <c r="E1" s="34"/>
      <c r="F1" s="34"/>
      <c r="G1" s="34"/>
      <c r="H1" s="34"/>
      <c r="I1" s="34"/>
    </row>
    <row r="3" customFormat="false" ht="30" hidden="false" customHeight="true" outlineLevel="0" collapsed="false">
      <c r="A3" s="13" t="s">
        <v>18</v>
      </c>
      <c r="B3" s="13" t="s">
        <v>19</v>
      </c>
      <c r="C3" s="13" t="s">
        <v>20</v>
      </c>
      <c r="D3" s="13" t="s">
        <v>21</v>
      </c>
      <c r="E3" s="13" t="s">
        <v>22</v>
      </c>
      <c r="F3" s="13" t="s">
        <v>2</v>
      </c>
      <c r="G3" s="13" t="s">
        <v>3</v>
      </c>
      <c r="H3" s="13" t="s">
        <v>4</v>
      </c>
      <c r="I3" s="13" t="s">
        <v>23</v>
      </c>
    </row>
    <row r="4" customFormat="false" ht="37.5" hidden="false" customHeight="true" outlineLevel="0" collapsed="false">
      <c r="A4" s="14" t="n">
        <v>1</v>
      </c>
      <c r="B4" s="15" t="s">
        <v>293</v>
      </c>
      <c r="C4" s="16" t="s">
        <v>294</v>
      </c>
      <c r="D4" s="16" t="s">
        <v>295</v>
      </c>
      <c r="E4" s="16" t="s">
        <v>296</v>
      </c>
      <c r="F4" s="26" t="s">
        <v>76</v>
      </c>
      <c r="G4" s="39" t="s">
        <v>297</v>
      </c>
      <c r="H4" s="19" t="s">
        <v>30</v>
      </c>
      <c r="I4" s="20" t="s">
        <v>298</v>
      </c>
    </row>
    <row r="5" customFormat="false" ht="37.5" hidden="false" customHeight="true" outlineLevel="0" collapsed="false">
      <c r="A5" s="21" t="n">
        <v>2</v>
      </c>
      <c r="B5" s="22" t="s">
        <v>299</v>
      </c>
      <c r="C5" s="23" t="s">
        <v>300</v>
      </c>
      <c r="D5" s="23" t="s">
        <v>301</v>
      </c>
      <c r="E5" s="23" t="s">
        <v>302</v>
      </c>
      <c r="F5" s="37" t="s">
        <v>187</v>
      </c>
      <c r="G5" s="39" t="s">
        <v>297</v>
      </c>
      <c r="H5" s="24" t="s">
        <v>30</v>
      </c>
      <c r="I5" s="25" t="s">
        <v>303</v>
      </c>
    </row>
    <row r="6" customFormat="false" ht="37.5" hidden="false" customHeight="true" outlineLevel="0" collapsed="false">
      <c r="A6" s="14" t="n">
        <v>3</v>
      </c>
      <c r="B6" s="15" t="s">
        <v>304</v>
      </c>
      <c r="C6" s="16" t="s">
        <v>305</v>
      </c>
      <c r="D6" s="16" t="s">
        <v>306</v>
      </c>
      <c r="E6" s="16" t="s">
        <v>307</v>
      </c>
      <c r="F6" s="37" t="s">
        <v>187</v>
      </c>
      <c r="G6" s="39" t="s">
        <v>297</v>
      </c>
      <c r="H6" s="19" t="s">
        <v>30</v>
      </c>
      <c r="I6" s="20" t="s">
        <v>308</v>
      </c>
    </row>
    <row r="7" customFormat="false" ht="37.5" hidden="false" customHeight="true" outlineLevel="0" collapsed="false">
      <c r="A7" s="21" t="n">
        <v>4</v>
      </c>
      <c r="B7" s="22" t="s">
        <v>309</v>
      </c>
      <c r="C7" s="23" t="s">
        <v>310</v>
      </c>
      <c r="D7" s="23" t="s">
        <v>311</v>
      </c>
      <c r="E7" s="23" t="s">
        <v>312</v>
      </c>
      <c r="F7" s="37" t="s">
        <v>187</v>
      </c>
      <c r="G7" s="39" t="s">
        <v>297</v>
      </c>
      <c r="H7" s="24" t="s">
        <v>30</v>
      </c>
      <c r="I7" s="25" t="s">
        <v>313</v>
      </c>
    </row>
    <row r="8" customFormat="false" ht="37.5" hidden="false" customHeight="true" outlineLevel="0" collapsed="false">
      <c r="A8" s="14" t="n">
        <v>5</v>
      </c>
      <c r="B8" s="15" t="s">
        <v>314</v>
      </c>
      <c r="C8" s="16" t="s">
        <v>305</v>
      </c>
      <c r="D8" s="16" t="s">
        <v>315</v>
      </c>
      <c r="E8" s="16" t="s">
        <v>267</v>
      </c>
      <c r="F8" s="37" t="s">
        <v>187</v>
      </c>
      <c r="G8" s="18" t="s">
        <v>29</v>
      </c>
      <c r="H8" s="19" t="s">
        <v>30</v>
      </c>
      <c r="I8" s="20" t="s">
        <v>316</v>
      </c>
    </row>
    <row r="9" customFormat="false" ht="37.5" hidden="false" customHeight="true" outlineLevel="0" collapsed="false">
      <c r="A9" s="21" t="n">
        <v>6</v>
      </c>
      <c r="B9" s="22" t="s">
        <v>317</v>
      </c>
      <c r="C9" s="23" t="s">
        <v>318</v>
      </c>
      <c r="D9" s="23" t="s">
        <v>319</v>
      </c>
      <c r="E9" s="23" t="s">
        <v>320</v>
      </c>
      <c r="F9" s="37" t="s">
        <v>187</v>
      </c>
      <c r="G9" s="39" t="s">
        <v>297</v>
      </c>
      <c r="H9" s="24" t="s">
        <v>30</v>
      </c>
      <c r="I9" s="25" t="s">
        <v>321</v>
      </c>
    </row>
    <row r="10" customFormat="false" ht="37.5" hidden="false" customHeight="true" outlineLevel="0" collapsed="false">
      <c r="A10" s="14" t="n">
        <v>7</v>
      </c>
      <c r="B10" s="15" t="s">
        <v>322</v>
      </c>
      <c r="C10" s="16" t="s">
        <v>323</v>
      </c>
      <c r="D10" s="16" t="s">
        <v>324</v>
      </c>
      <c r="E10" s="16" t="s">
        <v>325</v>
      </c>
      <c r="F10" s="37" t="s">
        <v>187</v>
      </c>
      <c r="G10" s="39" t="s">
        <v>297</v>
      </c>
      <c r="H10" s="19" t="s">
        <v>30</v>
      </c>
      <c r="I10" s="20" t="s">
        <v>326</v>
      </c>
    </row>
    <row r="11" customFormat="false" ht="37.5" hidden="false" customHeight="true" outlineLevel="0" collapsed="false">
      <c r="A11" s="21" t="n">
        <v>8</v>
      </c>
      <c r="B11" s="22" t="s">
        <v>327</v>
      </c>
      <c r="C11" s="23" t="s">
        <v>305</v>
      </c>
      <c r="D11" s="23" t="s">
        <v>328</v>
      </c>
      <c r="E11" s="23" t="s">
        <v>267</v>
      </c>
      <c r="F11" s="37" t="s">
        <v>187</v>
      </c>
      <c r="G11" s="18" t="s">
        <v>29</v>
      </c>
      <c r="H11" s="24" t="s">
        <v>30</v>
      </c>
      <c r="I11" s="25" t="s">
        <v>329</v>
      </c>
    </row>
    <row r="12" customFormat="false" ht="37.5" hidden="false" customHeight="true" outlineLevel="0" collapsed="false">
      <c r="A12" s="14" t="n">
        <v>9</v>
      </c>
      <c r="B12" s="15" t="s">
        <v>330</v>
      </c>
      <c r="C12" s="16" t="s">
        <v>305</v>
      </c>
      <c r="D12" s="16" t="s">
        <v>331</v>
      </c>
      <c r="E12" s="16" t="s">
        <v>332</v>
      </c>
      <c r="F12" s="37" t="s">
        <v>187</v>
      </c>
      <c r="G12" s="18" t="s">
        <v>29</v>
      </c>
      <c r="H12" s="19" t="s">
        <v>30</v>
      </c>
      <c r="I12" s="20" t="s">
        <v>333</v>
      </c>
    </row>
  </sheetData>
  <autoFilter ref="A3:I12"/>
  <mergeCells count="1">
    <mergeCell ref="A1:I1"/>
  </mergeCells>
  <conditionalFormatting sqref="H4:H12">
    <cfRule type="cellIs" priority="2" operator="equal" aboveAverage="0" equalAverage="0" bottom="0" percent="0" rank="0" text="" dxfId="0">
      <formula>"Reached Out"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"Submitted"</formula>
    </cfRule>
    <cfRule type="cellIs" priority="5" operator="equal" aboveAverage="0" equalAverage="0" bottom="0" percent="0" rank="0" text="" dxfId="2">
      <formula>"Approved"</formula>
    </cfRule>
    <cfRule type="cellIs" priority="6" operator="equal" aboveAverage="0" equalAverage="0" bottom="0" percent="0" rank="0" text="" dxfId="3">
      <formula>"Rejected"</formula>
    </cfRule>
  </conditionalFormatting>
  <dataValidations count="1">
    <dataValidation allowBlank="true" error="Please pick one of: -, Reached Out, In Progress, Submitted, Approved, Rejected" errorStyle="stop" errorTitle="Invalid status" operator="between" showDropDown="false" showErrorMessage="true" showInputMessage="false" sqref="H4:H12" type="list">
      <formula1>"-,Reached Out,In Progress,Submitted,Approved,Rejected"</formula1>
      <formula2>0</formula2>
    </dataValidation>
  </dataValidations>
  <hyperlinks>
    <hyperlink ref="I4" r:id="rId1" display="https://www.velocityincubator.com"/>
    <hyperlink ref="I5" r:id="rId2" display="https://www.communitech.ca"/>
    <hyperlink ref="I6" r:id="rId3" display="https://www.creativedestructionlab.com"/>
    <hyperlink ref="I7" r:id="rId4" display="https://dmz.torontomu.ca"/>
    <hyperlink ref="I8" r:id="rId5" display="https://founderfuel.com"/>
    <hyperlink ref="I9" r:id="rId6" display="https://www.marsdd.com"/>
    <hyperlink ref="I10" r:id="rId7" display="https://nextcanada.com"/>
    <hyperlink ref="I11" r:id="rId8" display="https://www.techstars.com"/>
    <hyperlink ref="I12" r:id="rId9" display="https://www.ycombinator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58"/>
  </cols>
  <sheetData>
    <row r="1" customFormat="false" ht="36" hidden="false" customHeight="true" outlineLevel="0" collapsed="false">
      <c r="A1" s="34" t="s">
        <v>148</v>
      </c>
      <c r="B1" s="34"/>
      <c r="C1" s="34"/>
      <c r="D1" s="34"/>
      <c r="E1" s="34"/>
      <c r="F1" s="34"/>
      <c r="G1" s="34"/>
      <c r="H1" s="34"/>
      <c r="I1" s="34"/>
    </row>
    <row r="3" customFormat="false" ht="30" hidden="false" customHeight="true" outlineLevel="0" collapsed="false">
      <c r="A3" s="13" t="s">
        <v>18</v>
      </c>
      <c r="B3" s="13" t="s">
        <v>19</v>
      </c>
      <c r="C3" s="13" t="s">
        <v>20</v>
      </c>
      <c r="D3" s="13" t="s">
        <v>21</v>
      </c>
      <c r="E3" s="13" t="s">
        <v>22</v>
      </c>
      <c r="F3" s="13" t="s">
        <v>2</v>
      </c>
      <c r="G3" s="13" t="s">
        <v>3</v>
      </c>
      <c r="H3" s="13" t="s">
        <v>4</v>
      </c>
      <c r="I3" s="13" t="s">
        <v>23</v>
      </c>
    </row>
    <row r="4" customFormat="false" ht="37.5" hidden="false" customHeight="true" outlineLevel="0" collapsed="false">
      <c r="A4" s="14" t="n">
        <v>1</v>
      </c>
      <c r="B4" s="15" t="s">
        <v>334</v>
      </c>
      <c r="C4" s="16" t="s">
        <v>335</v>
      </c>
      <c r="D4" s="16" t="s">
        <v>237</v>
      </c>
      <c r="E4" s="16" t="s">
        <v>75</v>
      </c>
      <c r="F4" s="37" t="s">
        <v>187</v>
      </c>
      <c r="G4" s="18" t="s">
        <v>29</v>
      </c>
      <c r="H4" s="19" t="s">
        <v>30</v>
      </c>
      <c r="I4" s="20" t="s">
        <v>336</v>
      </c>
    </row>
    <row r="5" customFormat="false" ht="37.5" hidden="false" customHeight="true" outlineLevel="0" collapsed="false">
      <c r="A5" s="21" t="n">
        <v>2</v>
      </c>
      <c r="B5" s="22" t="s">
        <v>337</v>
      </c>
      <c r="C5" s="23" t="s">
        <v>338</v>
      </c>
      <c r="D5" s="23" t="s">
        <v>339</v>
      </c>
      <c r="E5" s="23" t="s">
        <v>248</v>
      </c>
      <c r="F5" s="37" t="s">
        <v>187</v>
      </c>
      <c r="G5" s="18" t="s">
        <v>29</v>
      </c>
      <c r="H5" s="24" t="s">
        <v>30</v>
      </c>
      <c r="I5" s="25" t="s">
        <v>340</v>
      </c>
    </row>
    <row r="6" customFormat="false" ht="37.5" hidden="false" customHeight="true" outlineLevel="0" collapsed="false">
      <c r="A6" s="14" t="n">
        <v>3</v>
      </c>
      <c r="B6" s="15" t="s">
        <v>341</v>
      </c>
      <c r="C6" s="16" t="s">
        <v>342</v>
      </c>
      <c r="D6" s="16" t="s">
        <v>343</v>
      </c>
      <c r="E6" s="16" t="s">
        <v>344</v>
      </c>
      <c r="F6" s="37" t="s">
        <v>187</v>
      </c>
      <c r="G6" s="39" t="s">
        <v>297</v>
      </c>
      <c r="H6" s="19" t="s">
        <v>30</v>
      </c>
      <c r="I6" s="20" t="s">
        <v>345</v>
      </c>
    </row>
    <row r="7" customFormat="false" ht="37.5" hidden="false" customHeight="true" outlineLevel="0" collapsed="false">
      <c r="A7" s="21" t="n">
        <v>4</v>
      </c>
      <c r="B7" s="22" t="s">
        <v>346</v>
      </c>
      <c r="C7" s="23" t="s">
        <v>347</v>
      </c>
      <c r="D7" s="23" t="s">
        <v>348</v>
      </c>
      <c r="E7" s="23" t="s">
        <v>349</v>
      </c>
      <c r="F7" s="38" t="s">
        <v>208</v>
      </c>
      <c r="G7" s="18" t="s">
        <v>29</v>
      </c>
      <c r="H7" s="24" t="s">
        <v>30</v>
      </c>
      <c r="I7" s="25" t="s">
        <v>350</v>
      </c>
    </row>
    <row r="8" customFormat="false" ht="37.5" hidden="false" customHeight="true" outlineLevel="0" collapsed="false">
      <c r="A8" s="14" t="n">
        <v>5</v>
      </c>
      <c r="B8" s="15" t="s">
        <v>351</v>
      </c>
      <c r="C8" s="16" t="s">
        <v>352</v>
      </c>
      <c r="D8" s="16" t="s">
        <v>353</v>
      </c>
      <c r="E8" s="16" t="s">
        <v>354</v>
      </c>
      <c r="F8" s="38" t="s">
        <v>208</v>
      </c>
      <c r="G8" s="18" t="s">
        <v>29</v>
      </c>
      <c r="H8" s="19" t="s">
        <v>30</v>
      </c>
      <c r="I8" s="20" t="s">
        <v>355</v>
      </c>
    </row>
    <row r="9" customFormat="false" ht="37.5" hidden="false" customHeight="true" outlineLevel="0" collapsed="false">
      <c r="A9" s="21" t="n">
        <v>6</v>
      </c>
      <c r="B9" s="22" t="s">
        <v>356</v>
      </c>
      <c r="C9" s="23" t="s">
        <v>357</v>
      </c>
      <c r="D9" s="23" t="s">
        <v>241</v>
      </c>
      <c r="E9" s="23" t="s">
        <v>358</v>
      </c>
      <c r="F9" s="38" t="s">
        <v>208</v>
      </c>
      <c r="G9" s="35" t="s">
        <v>155</v>
      </c>
      <c r="H9" s="24" t="s">
        <v>30</v>
      </c>
      <c r="I9" s="25" t="s">
        <v>359</v>
      </c>
    </row>
  </sheetData>
  <autoFilter ref="A3:I9"/>
  <mergeCells count="1">
    <mergeCell ref="A1:I1"/>
  </mergeCells>
  <conditionalFormatting sqref="H4:H9">
    <cfRule type="cellIs" priority="2" operator="equal" aboveAverage="0" equalAverage="0" bottom="0" percent="0" rank="0" text="" dxfId="0">
      <formula>"Reached Out"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"Submitted"</formula>
    </cfRule>
    <cfRule type="cellIs" priority="5" operator="equal" aboveAverage="0" equalAverage="0" bottom="0" percent="0" rank="0" text="" dxfId="2">
      <formula>"Approved"</formula>
    </cfRule>
    <cfRule type="cellIs" priority="6" operator="equal" aboveAverage="0" equalAverage="0" bottom="0" percent="0" rank="0" text="" dxfId="3">
      <formula>"Rejected"</formula>
    </cfRule>
  </conditionalFormatting>
  <dataValidations count="1">
    <dataValidation allowBlank="true" error="Please pick one of: -, Reached Out, In Progress, Submitted, Approved, Rejected" errorStyle="stop" errorTitle="Invalid status" operator="between" showDropDown="false" showErrorMessage="true" showInputMessage="false" sqref="H4:H9" type="list">
      <formula1>"-,Reached Out,In Progress,Submitted,Approved,Rejected"</formula1>
      <formula2>0</formula2>
    </dataValidation>
  </dataValidations>
  <hyperlinks>
    <hyperlink ref="I4" r:id="rId1" display="https://www.angellist.com"/>
    <hyperlink ref="I5" r:id="rId2" display="https://www.frontfundr.com"/>
    <hyperlink ref="I6" r:id="rId3" display="https://www.restaurantscanada.org"/>
    <hyperlink ref="I7" r:id="rId4" display="https://www.kickstarter.com"/>
    <hyperlink ref="I8" r:id="rId5" display="https://helpbnk.com"/>
    <hyperlink ref="I9" r:id="rId6" display="https://ised-isde.canada.ca/site/tourism-growth-program/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58"/>
  </cols>
  <sheetData>
    <row r="1" customFormat="false" ht="36" hidden="false" customHeight="true" outlineLevel="0" collapsed="false">
      <c r="A1" s="34" t="s">
        <v>149</v>
      </c>
      <c r="B1" s="34"/>
      <c r="C1" s="34"/>
      <c r="D1" s="34"/>
      <c r="E1" s="34"/>
      <c r="F1" s="34"/>
      <c r="G1" s="34"/>
      <c r="H1" s="34"/>
      <c r="I1" s="34"/>
    </row>
    <row r="3" customFormat="false" ht="30" hidden="false" customHeight="true" outlineLevel="0" collapsed="false">
      <c r="A3" s="13" t="s">
        <v>18</v>
      </c>
      <c r="B3" s="13" t="s">
        <v>19</v>
      </c>
      <c r="C3" s="13" t="s">
        <v>20</v>
      </c>
      <c r="D3" s="13" t="s">
        <v>21</v>
      </c>
      <c r="E3" s="13" t="s">
        <v>22</v>
      </c>
      <c r="F3" s="13" t="s">
        <v>2</v>
      </c>
      <c r="G3" s="13" t="s">
        <v>3</v>
      </c>
      <c r="H3" s="13" t="s">
        <v>4</v>
      </c>
      <c r="I3" s="13" t="s">
        <v>23</v>
      </c>
    </row>
    <row r="4" customFormat="false" ht="37.5" hidden="false" customHeight="true" outlineLevel="0" collapsed="false">
      <c r="A4" s="14" t="n">
        <v>1</v>
      </c>
      <c r="B4" s="15" t="s">
        <v>24</v>
      </c>
      <c r="C4" s="16" t="s">
        <v>25</v>
      </c>
      <c r="D4" s="16" t="s">
        <v>26</v>
      </c>
      <c r="E4" s="16" t="s">
        <v>27</v>
      </c>
      <c r="F4" s="17" t="s">
        <v>28</v>
      </c>
      <c r="G4" s="18" t="s">
        <v>29</v>
      </c>
      <c r="H4" s="19" t="str">
        <f aca="false">'Start Here'!H13</f>
        <v>-</v>
      </c>
      <c r="I4" s="20" t="s">
        <v>31</v>
      </c>
    </row>
    <row r="5" customFormat="false" ht="37.5" hidden="false" customHeight="true" outlineLevel="0" collapsed="false">
      <c r="A5" s="21" t="n">
        <v>2</v>
      </c>
      <c r="B5" s="22" t="s">
        <v>360</v>
      </c>
      <c r="C5" s="23" t="s">
        <v>294</v>
      </c>
      <c r="D5" s="23" t="s">
        <v>361</v>
      </c>
      <c r="E5" s="23" t="s">
        <v>362</v>
      </c>
      <c r="F5" s="17" t="s">
        <v>28</v>
      </c>
      <c r="G5" s="39" t="s">
        <v>297</v>
      </c>
      <c r="H5" s="24" t="s">
        <v>30</v>
      </c>
      <c r="I5" s="25" t="s">
        <v>363</v>
      </c>
    </row>
    <row r="6" customFormat="false" ht="37.5" hidden="false" customHeight="true" outlineLevel="0" collapsed="false">
      <c r="A6" s="14" t="n">
        <v>3</v>
      </c>
      <c r="B6" s="15" t="s">
        <v>52</v>
      </c>
      <c r="C6" s="16" t="s">
        <v>53</v>
      </c>
      <c r="D6" s="16" t="s">
        <v>54</v>
      </c>
      <c r="E6" s="16" t="s">
        <v>55</v>
      </c>
      <c r="F6" s="17" t="s">
        <v>28</v>
      </c>
      <c r="G6" s="18" t="s">
        <v>29</v>
      </c>
      <c r="H6" s="19" t="str">
        <f aca="false">'Start Here'!H18</f>
        <v>-</v>
      </c>
      <c r="I6" s="20" t="s">
        <v>56</v>
      </c>
    </row>
    <row r="7" customFormat="false" ht="37.5" hidden="false" customHeight="true" outlineLevel="0" collapsed="false">
      <c r="A7" s="21" t="n">
        <v>4</v>
      </c>
      <c r="B7" s="22" t="s">
        <v>364</v>
      </c>
      <c r="C7" s="23" t="s">
        <v>365</v>
      </c>
      <c r="D7" s="23" t="s">
        <v>366</v>
      </c>
      <c r="E7" s="23" t="s">
        <v>60</v>
      </c>
      <c r="F7" s="17" t="s">
        <v>28</v>
      </c>
      <c r="G7" s="39" t="s">
        <v>297</v>
      </c>
      <c r="H7" s="37" t="s">
        <v>367</v>
      </c>
      <c r="I7" s="25" t="s">
        <v>368</v>
      </c>
    </row>
    <row r="8" customFormat="false" ht="37.5" hidden="false" customHeight="true" outlineLevel="0" collapsed="false">
      <c r="A8" s="14" t="n">
        <v>5</v>
      </c>
      <c r="B8" s="15" t="s">
        <v>57</v>
      </c>
      <c r="C8" s="16" t="s">
        <v>58</v>
      </c>
      <c r="D8" s="16" t="s">
        <v>59</v>
      </c>
      <c r="E8" s="16" t="s">
        <v>60</v>
      </c>
      <c r="F8" s="17" t="s">
        <v>28</v>
      </c>
      <c r="G8" s="18" t="s">
        <v>29</v>
      </c>
      <c r="H8" s="19" t="str">
        <f aca="false">'Start Here'!H19</f>
        <v>-</v>
      </c>
      <c r="I8" s="20" t="s">
        <v>61</v>
      </c>
    </row>
    <row r="9" customFormat="false" ht="37.5" hidden="false" customHeight="true" outlineLevel="0" collapsed="false">
      <c r="A9" s="21" t="n">
        <v>6</v>
      </c>
      <c r="B9" s="22" t="s">
        <v>78</v>
      </c>
      <c r="C9" s="23" t="s">
        <v>79</v>
      </c>
      <c r="D9" s="23" t="s">
        <v>80</v>
      </c>
      <c r="E9" s="23" t="s">
        <v>81</v>
      </c>
      <c r="F9" s="26" t="s">
        <v>76</v>
      </c>
      <c r="G9" s="18" t="s">
        <v>29</v>
      </c>
      <c r="H9" s="24" t="str">
        <f aca="false">'Start Here'!H23</f>
        <v>-</v>
      </c>
      <c r="I9" s="25" t="s">
        <v>56</v>
      </c>
    </row>
    <row r="10" customFormat="false" ht="37.5" hidden="false" customHeight="true" outlineLevel="0" collapsed="false">
      <c r="A10" s="14" t="n">
        <v>7</v>
      </c>
      <c r="B10" s="15" t="s">
        <v>88</v>
      </c>
      <c r="C10" s="16" t="s">
        <v>89</v>
      </c>
      <c r="D10" s="16" t="s">
        <v>90</v>
      </c>
      <c r="E10" s="16" t="s">
        <v>91</v>
      </c>
      <c r="F10" s="26" t="s">
        <v>76</v>
      </c>
      <c r="G10" s="18" t="s">
        <v>29</v>
      </c>
      <c r="H10" s="19" t="str">
        <f aca="false">'Start Here'!H25</f>
        <v>-</v>
      </c>
      <c r="I10" s="20" t="s">
        <v>92</v>
      </c>
    </row>
    <row r="11" customFormat="false" ht="37.5" hidden="false" customHeight="true" outlineLevel="0" collapsed="false">
      <c r="A11" s="21" t="n">
        <v>8</v>
      </c>
      <c r="B11" s="22" t="s">
        <v>369</v>
      </c>
      <c r="C11" s="23" t="s">
        <v>152</v>
      </c>
      <c r="D11" s="23" t="s">
        <v>370</v>
      </c>
      <c r="E11" s="23" t="s">
        <v>371</v>
      </c>
      <c r="F11" s="26" t="s">
        <v>76</v>
      </c>
      <c r="G11" s="35" t="s">
        <v>155</v>
      </c>
      <c r="H11" s="24" t="s">
        <v>30</v>
      </c>
      <c r="I11" s="25" t="s">
        <v>372</v>
      </c>
    </row>
    <row r="12" customFormat="false" ht="37.5" hidden="false" customHeight="true" outlineLevel="0" collapsed="false">
      <c r="A12" s="14" t="n">
        <v>9</v>
      </c>
      <c r="B12" s="15" t="s">
        <v>97</v>
      </c>
      <c r="C12" s="16" t="s">
        <v>98</v>
      </c>
      <c r="D12" s="16" t="s">
        <v>99</v>
      </c>
      <c r="E12" s="16" t="s">
        <v>100</v>
      </c>
      <c r="F12" s="26" t="s">
        <v>76</v>
      </c>
      <c r="G12" s="18" t="s">
        <v>29</v>
      </c>
      <c r="H12" s="19" t="str">
        <f aca="false">'Start Here'!H27</f>
        <v>-</v>
      </c>
      <c r="I12" s="20" t="s">
        <v>101</v>
      </c>
    </row>
    <row r="13" customFormat="false" ht="37.5" hidden="false" customHeight="true" outlineLevel="0" collapsed="false">
      <c r="A13" s="21" t="n">
        <v>10</v>
      </c>
      <c r="B13" s="22" t="s">
        <v>105</v>
      </c>
      <c r="C13" s="23" t="s">
        <v>89</v>
      </c>
      <c r="D13" s="23" t="s">
        <v>106</v>
      </c>
      <c r="E13" s="23" t="s">
        <v>107</v>
      </c>
      <c r="F13" s="26" t="s">
        <v>76</v>
      </c>
      <c r="G13" s="18" t="s">
        <v>29</v>
      </c>
      <c r="H13" s="24" t="str">
        <f aca="false">'Start Here'!H29</f>
        <v>-</v>
      </c>
      <c r="I13" s="25" t="s">
        <v>108</v>
      </c>
    </row>
    <row r="14" customFormat="false" ht="37.5" hidden="false" customHeight="true" outlineLevel="0" collapsed="false">
      <c r="A14" s="14" t="n">
        <v>11</v>
      </c>
      <c r="B14" s="15" t="s">
        <v>113</v>
      </c>
      <c r="C14" s="16" t="s">
        <v>114</v>
      </c>
      <c r="D14" s="16" t="s">
        <v>115</v>
      </c>
      <c r="E14" s="16" t="s">
        <v>116</v>
      </c>
      <c r="F14" s="26" t="s">
        <v>76</v>
      </c>
      <c r="G14" s="18" t="s">
        <v>29</v>
      </c>
      <c r="H14" s="19" t="str">
        <f aca="false">'Start Here'!H31</f>
        <v>-</v>
      </c>
      <c r="I14" s="20" t="s">
        <v>117</v>
      </c>
    </row>
    <row r="15" customFormat="false" ht="37.5" hidden="false" customHeight="true" outlineLevel="0" collapsed="false">
      <c r="A15" s="21" t="n">
        <v>12</v>
      </c>
      <c r="B15" s="22" t="s">
        <v>118</v>
      </c>
      <c r="C15" s="23" t="s">
        <v>119</v>
      </c>
      <c r="D15" s="23" t="s">
        <v>120</v>
      </c>
      <c r="E15" s="23" t="s">
        <v>121</v>
      </c>
      <c r="F15" s="26" t="s">
        <v>76</v>
      </c>
      <c r="G15" s="18" t="s">
        <v>29</v>
      </c>
      <c r="H15" s="26" t="str">
        <f aca="false">'Start Here'!H32</f>
        <v>In Progress</v>
      </c>
      <c r="I15" s="25" t="s">
        <v>122</v>
      </c>
    </row>
    <row r="16" customFormat="false" ht="37.5" hidden="false" customHeight="true" outlineLevel="0" collapsed="false">
      <c r="A16" s="14" t="n">
        <v>13</v>
      </c>
      <c r="B16" s="15" t="s">
        <v>132</v>
      </c>
      <c r="C16" s="16" t="s">
        <v>133</v>
      </c>
      <c r="D16" s="16" t="s">
        <v>134</v>
      </c>
      <c r="E16" s="16" t="s">
        <v>135</v>
      </c>
      <c r="F16" s="26" t="s">
        <v>76</v>
      </c>
      <c r="G16" s="18" t="s">
        <v>29</v>
      </c>
      <c r="H16" s="19" t="str">
        <f aca="false">'Start Here'!H35</f>
        <v>-</v>
      </c>
      <c r="I16" s="20" t="s">
        <v>136</v>
      </c>
    </row>
    <row r="17" customFormat="false" ht="37.5" hidden="false" customHeight="true" outlineLevel="0" collapsed="false">
      <c r="A17" s="21" t="n">
        <v>14</v>
      </c>
      <c r="B17" s="22" t="s">
        <v>373</v>
      </c>
      <c r="C17" s="23" t="s">
        <v>305</v>
      </c>
      <c r="D17" s="23" t="s">
        <v>361</v>
      </c>
      <c r="E17" s="23" t="s">
        <v>374</v>
      </c>
      <c r="F17" s="26" t="s">
        <v>76</v>
      </c>
      <c r="G17" s="39" t="s">
        <v>297</v>
      </c>
      <c r="H17" s="24" t="s">
        <v>30</v>
      </c>
      <c r="I17" s="25" t="s">
        <v>375</v>
      </c>
    </row>
    <row r="18" customFormat="false" ht="37.5" hidden="false" customHeight="true" outlineLevel="0" collapsed="false">
      <c r="A18" s="14" t="n">
        <v>15</v>
      </c>
      <c r="B18" s="15" t="s">
        <v>376</v>
      </c>
      <c r="C18" s="16" t="s">
        <v>377</v>
      </c>
      <c r="D18" s="16" t="s">
        <v>378</v>
      </c>
      <c r="E18" s="16" t="s">
        <v>379</v>
      </c>
      <c r="F18" s="37" t="s">
        <v>187</v>
      </c>
      <c r="G18" s="39" t="s">
        <v>297</v>
      </c>
      <c r="H18" s="19" t="s">
        <v>30</v>
      </c>
      <c r="I18" s="20" t="s">
        <v>380</v>
      </c>
    </row>
    <row r="19" customFormat="false" ht="37.5" hidden="false" customHeight="true" outlineLevel="0" collapsed="false">
      <c r="A19" s="21" t="n">
        <v>16</v>
      </c>
      <c r="B19" s="22" t="s">
        <v>381</v>
      </c>
      <c r="C19" s="23" t="s">
        <v>382</v>
      </c>
      <c r="D19" s="23" t="s">
        <v>383</v>
      </c>
      <c r="E19" s="23" t="s">
        <v>384</v>
      </c>
      <c r="F19" s="38" t="s">
        <v>208</v>
      </c>
      <c r="G19" s="36" t="s">
        <v>161</v>
      </c>
      <c r="H19" s="24" t="s">
        <v>30</v>
      </c>
      <c r="I19" s="25" t="s">
        <v>385</v>
      </c>
    </row>
  </sheetData>
  <autoFilter ref="A3:I19"/>
  <mergeCells count="1">
    <mergeCell ref="A1:I1"/>
  </mergeCells>
  <conditionalFormatting sqref="H4:H19">
    <cfRule type="cellIs" priority="2" operator="equal" aboveAverage="0" equalAverage="0" bottom="0" percent="0" rank="0" text="" dxfId="0">
      <formula>"Reached Out"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"Submitted"</formula>
    </cfRule>
    <cfRule type="cellIs" priority="5" operator="equal" aboveAverage="0" equalAverage="0" bottom="0" percent="0" rank="0" text="" dxfId="2">
      <formula>"Approved"</formula>
    </cfRule>
    <cfRule type="cellIs" priority="6" operator="equal" aboveAverage="0" equalAverage="0" bottom="0" percent="0" rank="0" text="" dxfId="3">
      <formula>"Rejected"</formula>
    </cfRule>
  </conditionalFormatting>
  <dataValidations count="1">
    <dataValidation allowBlank="true" error="Please pick one of: -, Reached Out, In Progress, Submitted, Approved, Rejected" errorStyle="stop" errorTitle="Invalid status" operator="between" showDropDown="false" showErrorMessage="true" showInputMessage="false" sqref="H4:H19" type="list">
      <formula1>"-,Reached Out,In Progress,Submitted,Approved,Rejected"</formula1>
      <formula2>0</formula2>
    </dataValidation>
  </dataValidations>
  <hyperlinks>
    <hyperlink ref="I4" r:id="rId1" display="https://www.canada.ca/en/atlantic-canada-opportunities/services/business-development-program.html"/>
    <hyperlink ref="I5" r:id="rId2" display="https://www.genesiscentre.ca"/>
    <hyperlink ref="I6" r:id="rId3" display="https://www.gov.nl.ca/iet/funding/"/>
    <hyperlink ref="I7" r:id="rId4" display="https://nlowe.org"/>
    <hyperlink ref="I8" r:id="rId5" display="https://nventure.ca/about"/>
    <hyperlink ref="I9" r:id="rId6" display="https://www.gov.nl.ca/iet/funding/"/>
    <hyperlink ref="I10" r:id="rId7" display="https://www.cbdc.ca/en/programs"/>
    <hyperlink ref="I11" r:id="rId8" display="https://www.gov.nl.ca/ipgs/empservices/jobsnl/"/>
    <hyperlink ref="I12" r:id="rId9" display="https://killickcapital.com"/>
    <hyperlink ref="I13" r:id="rId10" display="https://www.mbobusiness.ca/lending"/>
    <hyperlink ref="I14" r:id="rId11" display="https://nbif.ca"/>
    <hyperlink ref="I15" r:id="rId12" display="https://nventure.ca"/>
    <hyperlink ref="I16" r:id="rId13" display="https://www.pelorusvc.com"/>
    <hyperlink ref="I17" r:id="rId14" display="https://propelict.com"/>
    <hyperlink ref="I18" r:id="rId15" display="https://voltaeffect.com"/>
    <hyperlink ref="I19" r:id="rId16" display="https://novascotia.ca/finance/en/home/taxation/tax101/businesstax/investmenttaxcredits.asp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2026-04-24T05:41:54Z</dcterms:created>
  <dc:creator>openpyxl</dc:creator>
  <dc:description/>
  <dc:language>en-CA</dc:language>
  <cp:lastModifiedBy/>
  <dcterms:modified xsi:type="dcterms:W3CDTF">2026-04-24T03:13:20Z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