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Category Summary" sheetId="1" state="visible" r:id="rId1"/>
    <sheet name="Cost Detail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_-\$* #,##0_-;&quot;-$&quot;* #,##0_-;_-\$* \-??_-;_-@_-"/>
    <numFmt numFmtId="165" formatCode="0.0%"/>
  </numFmts>
  <fonts count="17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masis MT Pro"/>
      <charset val="1"/>
      <family val="0"/>
      <b val="1"/>
      <sz val="15"/>
    </font>
    <font>
      <name val="Aptos Narrow"/>
      <charset val="1"/>
      <family val="0"/>
      <b val="1"/>
      <color rgb="FFFFFFFF"/>
      <sz val="11"/>
    </font>
    <font>
      <name val="Aptos Narrow"/>
      <charset val="1"/>
      <family val="0"/>
      <sz val="11"/>
    </font>
    <font>
      <name val="Aptos Narrow"/>
      <charset val="1"/>
      <family val="0"/>
      <b val="1"/>
      <sz val="12"/>
    </font>
    <font>
      <name val="Aptos Narrow"/>
      <charset val="1"/>
      <family val="0"/>
      <b val="1"/>
      <color rgb="FFFFFFFF"/>
      <sz val="13"/>
    </font>
    <font>
      <name val="Amasis MT Pro"/>
      <charset val="1"/>
      <family val="0"/>
      <b val="1"/>
      <color rgb="FF1F4E78"/>
      <sz val="13"/>
    </font>
    <font>
      <name val="Amasis MT Pro"/>
      <charset val="1"/>
      <family val="0"/>
      <b val="1"/>
      <color rgb="FF1C3E7C"/>
      <sz val="18"/>
    </font>
    <font>
      <name val="Cambria"/>
      <charset val="1"/>
      <family val="0"/>
      <sz val="11"/>
    </font>
    <font>
      <name val="Amasis MT Pro"/>
      <charset val="1"/>
      <family val="0"/>
      <color rgb="FF1C3E7C"/>
      <sz val="13"/>
    </font>
    <font>
      <name val="Amasis MT Pro"/>
      <charset val="1"/>
      <family val="0"/>
      <i val="1"/>
      <color rgb="FF555555"/>
      <sz val="11"/>
    </font>
    <font>
      <name val="Aptos Narrow"/>
      <charset val="1"/>
      <family val="0"/>
      <b val="1"/>
      <color rgb="FFFFFFFF"/>
      <sz val="12"/>
    </font>
    <font>
      <name val="Aptos Narrow"/>
      <charset val="1"/>
      <family val="0"/>
      <b val="1"/>
      <sz val="11"/>
    </font>
    <font>
      <name val="Aptos Narrow"/>
      <charset val="1"/>
      <family val="0"/>
      <i val="1"/>
      <color rgb="FF404040"/>
      <sz val="10"/>
    </font>
  </fonts>
  <fills count="8">
    <fill>
      <patternFill/>
    </fill>
    <fill>
      <patternFill patternType="gray125"/>
    </fill>
    <fill>
      <patternFill patternType="solid">
        <fgColor rgb="FF1C3E7C"/>
        <bgColor rgb="FF1F4E78"/>
      </patternFill>
    </fill>
    <fill>
      <patternFill patternType="solid">
        <fgColor rgb="FFF5F8FB"/>
        <bgColor rgb="FFE8F6FB"/>
      </patternFill>
    </fill>
    <fill>
      <patternFill patternType="solid">
        <fgColor rgb="FF1F4E78"/>
        <bgColor rgb="FF1C3E7C"/>
      </patternFill>
    </fill>
    <fill>
      <patternFill patternType="solid">
        <fgColor rgb="FFDDEBF7"/>
        <bgColor rgb="FFE8F6FB"/>
      </patternFill>
    </fill>
    <fill>
      <patternFill patternType="solid">
        <fgColor rgb="FF3FB6DB"/>
        <bgColor rgb="FF00CCFF"/>
      </patternFill>
    </fill>
    <fill>
      <patternFill patternType="solid">
        <fgColor rgb="FFE8F6FB"/>
        <bgColor rgb="FFF5F8FB"/>
      </patternFill>
    </fill>
  </fills>
  <borders count="5">
    <border>
      <left/>
      <right/>
      <top/>
      <bottom/>
      <diagonal/>
    </border>
    <border>
      <left style="thin">
        <color rgb="FFC9CCCF"/>
      </left>
      <right style="thin">
        <color rgb="FFC9CCCF"/>
      </right>
      <top style="thin">
        <color rgb="FFC9CCCF"/>
      </top>
      <bottom style="thin">
        <color rgb="FFC9CCCF"/>
      </bottom>
      <diagonal/>
    </border>
    <border>
      <left/>
      <right/>
      <top style="thin">
        <color rgb="FFC9CCCF"/>
      </top>
      <bottom/>
      <diagonal/>
    </border>
    <border>
      <left/>
      <right style="thin">
        <color rgb="FFC9CCCF"/>
      </right>
      <top style="thin">
        <color rgb="FFC9CCCF"/>
      </top>
      <bottom/>
      <diagonal/>
    </border>
    <border>
      <left/>
      <right style="thin">
        <color rgb="FFC9CCCF"/>
      </right>
      <top style="thin">
        <color rgb="FFC9CCCF"/>
      </top>
      <bottom style="thin">
        <color rgb="FFC9CCC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general" vertical="center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general" vertical="center"/>
    </xf>
    <xf numFmtId="0" fontId="8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right" vertical="center"/>
    </xf>
    <xf numFmtId="165" fontId="8" fillId="2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general" vertical="bottom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general" vertical="bottom"/>
    </xf>
    <xf numFmtId="164" fontId="6" fillId="3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general" vertical="bottom"/>
    </xf>
    <xf numFmtId="164" fontId="7" fillId="5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164" fontId="5" fillId="2" borderId="1" applyAlignment="1" pivotButton="0" quotePrefix="0" xfId="0">
      <alignment horizontal="center" vertical="center"/>
    </xf>
    <xf numFmtId="0" fontId="14" fillId="6" borderId="0" applyAlignment="1" pivotButton="0" quotePrefix="0" xfId="0">
      <alignment horizontal="left" vertical="center"/>
    </xf>
    <xf numFmtId="164" fontId="14" fillId="6" borderId="0" applyAlignment="1" pivotButton="0" quotePrefix="0" xfId="0">
      <alignment horizontal="right" vertical="center"/>
    </xf>
    <xf numFmtId="164" fontId="14" fillId="6" borderId="0" applyAlignment="1" pivotButton="0" quotePrefix="0" xfId="0">
      <alignment horizontal="general" vertical="center"/>
    </xf>
    <xf numFmtId="0" fontId="1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 wrapText="1"/>
    </xf>
    <xf numFmtId="164" fontId="16" fillId="0" borderId="1" applyAlignment="1" pivotButton="0" quotePrefix="0" xfId="0">
      <alignment horizontal="general" vertical="center" wrapText="1"/>
    </xf>
    <xf numFmtId="0" fontId="1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general" vertical="center" wrapText="1"/>
    </xf>
    <xf numFmtId="164" fontId="6" fillId="7" borderId="1" applyAlignment="1" pivotButton="0" quotePrefix="0" xfId="0">
      <alignment horizontal="right" vertical="center"/>
    </xf>
    <xf numFmtId="164" fontId="16" fillId="7" borderId="1" applyAlignment="1" pivotButton="0" quotePrefix="0" xfId="0">
      <alignment horizontal="general" vertical="center" wrapText="1"/>
    </xf>
    <xf numFmtId="164" fontId="11" fillId="0" borderId="0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center" wrapText="1"/>
    </xf>
    <xf numFmtId="0" fontId="14" fillId="6" borderId="0" applyAlignment="1" pivotButton="0" quotePrefix="0" xfId="0">
      <alignment horizontal="general" vertical="center"/>
    </xf>
    <xf numFmtId="0" fontId="16" fillId="7" borderId="1" applyAlignment="1" pivotButton="0" quotePrefix="0" xfId="0">
      <alignment horizontal="general" vertical="center" wrapText="1"/>
    </xf>
    <xf numFmtId="164" fontId="11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right" vertical="center"/>
    </xf>
    <xf numFmtId="164" fontId="8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general" vertical="center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general" vertical="center"/>
    </xf>
    <xf numFmtId="0" fontId="8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right" vertical="center"/>
    </xf>
    <xf numFmtId="165" fontId="8" fillId="2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general" vertical="bottom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bottom"/>
    </xf>
    <xf numFmtId="0" fontId="0" fillId="0" borderId="4" pivotButton="0" quotePrefix="0" xfId="0"/>
    <xf numFmtId="0" fontId="6" fillId="3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bottom"/>
    </xf>
    <xf numFmtId="164" fontId="7" fillId="5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164" fontId="5" fillId="2" borderId="1" applyAlignment="1" pivotButton="0" quotePrefix="0" xfId="0">
      <alignment horizontal="center" vertical="center"/>
    </xf>
    <xf numFmtId="0" fontId="14" fillId="6" borderId="0" applyAlignment="1" pivotButton="0" quotePrefix="0" xfId="0">
      <alignment horizontal="left" vertical="center"/>
    </xf>
    <xf numFmtId="164" fontId="14" fillId="6" borderId="0" applyAlignment="1" pivotButton="0" quotePrefix="0" xfId="0">
      <alignment horizontal="right" vertical="center"/>
    </xf>
    <xf numFmtId="164" fontId="14" fillId="6" borderId="0" applyAlignment="1" pivotButton="0" quotePrefix="0" xfId="0">
      <alignment horizontal="general" vertical="center"/>
    </xf>
    <xf numFmtId="0" fontId="1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 wrapText="1"/>
    </xf>
    <xf numFmtId="164" fontId="16" fillId="0" borderId="1" applyAlignment="1" pivotButton="0" quotePrefix="0" xfId="0">
      <alignment horizontal="general" vertical="center" wrapText="1"/>
    </xf>
    <xf numFmtId="0" fontId="1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general" vertical="center" wrapText="1"/>
    </xf>
    <xf numFmtId="164" fontId="6" fillId="7" borderId="1" applyAlignment="1" pivotButton="0" quotePrefix="0" xfId="0">
      <alignment horizontal="right" vertical="center"/>
    </xf>
    <xf numFmtId="164" fontId="16" fillId="7" borderId="1" applyAlignment="1" pivotButton="0" quotePrefix="0" xfId="0">
      <alignment horizontal="general" vertical="center" wrapText="1"/>
    </xf>
    <xf numFmtId="164" fontId="11" fillId="0" borderId="0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center" wrapText="1"/>
    </xf>
    <xf numFmtId="0" fontId="14" fillId="6" borderId="0" applyAlignment="1" pivotButton="0" quotePrefix="0" xfId="0">
      <alignment horizontal="general" vertical="center"/>
    </xf>
    <xf numFmtId="0" fontId="16" fillId="7" borderId="1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right" vertical="center"/>
    </xf>
    <xf numFmtId="164" fontId="8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CCF"/>
      <rgbColor rgb="FF808080"/>
      <rgbColor rgb="FF9999FF"/>
      <rgbColor rgb="FF993366"/>
      <rgbColor rgb="FFF5F8FB"/>
      <rgbColor rgb="FFE8F6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CFFCC"/>
      <rgbColor rgb="FFFFFF99"/>
      <rgbColor rgb="FF99CCFF"/>
      <rgbColor rgb="FFFF99CC"/>
      <rgbColor rgb="FFCC99FF"/>
      <rgbColor rgb="FFFFCC99"/>
      <rgbColor rgb="FF3366FF"/>
      <rgbColor rgb="FF3FB6DB"/>
      <rgbColor rgb="FF99CC00"/>
      <rgbColor rgb="FFFFCC00"/>
      <rgbColor rgb="FFFF9900"/>
      <rgbColor rgb="FFFF6600"/>
      <rgbColor rgb="FF555555"/>
      <rgbColor rgb="FF969696"/>
      <rgbColor rgb="FF1F4E78"/>
      <rgbColor rgb="FF339966"/>
      <rgbColor rgb="FF003300"/>
      <rgbColor rgb="FF333300"/>
      <rgbColor rgb="FF993300"/>
      <rgbColor rgb="FF993366"/>
      <rgbColor rgb="FF1C3E7C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C24" activeCellId="0" sqref="C24"/>
    </sheetView>
  </sheetViews>
  <sheetFormatPr baseColWidth="8" defaultRowHeight="15" zeroHeight="0" outlineLevelRow="0"/>
  <cols>
    <col width="52" customWidth="1" style="49" min="1" max="1"/>
    <col width="14.01" customWidth="1" style="49" min="2" max="2"/>
    <col width="18" customWidth="1" style="49" min="3" max="3"/>
    <col width="14.01" customWidth="1" style="49" min="4" max="4"/>
    <col width="8.67" customWidth="1" style="49" min="5" max="1025"/>
  </cols>
  <sheetData>
    <row r="1" ht="28" customHeight="1" s="50">
      <c r="A1" s="51" t="inlineStr">
        <is>
          <t>FORGE &amp; FLOW - BUDGET SUMMARY BY CATEGORY</t>
        </is>
      </c>
    </row>
    <row r="3" ht="26" customHeight="1" s="50">
      <c r="A3" s="52" t="inlineStr">
        <is>
          <t>Category</t>
        </is>
      </c>
      <c r="B3" s="52" t="inlineStr">
        <is>
          <t>Line Items</t>
        </is>
      </c>
      <c r="C3" s="52" t="inlineStr">
        <is>
          <t>Total (CAD)</t>
        </is>
      </c>
      <c r="D3" s="52" t="inlineStr">
        <is>
          <t>% of Budget</t>
        </is>
      </c>
    </row>
    <row r="4" ht="26" customHeight="1" s="50">
      <c r="A4" s="53" t="inlineStr">
        <is>
          <t>Salaries</t>
        </is>
      </c>
      <c r="B4" s="54" t="n">
        <v>3</v>
      </c>
      <c r="C4" s="55" t="n">
        <v>40000</v>
      </c>
      <c r="D4" s="56">
        <f>C4/$C$15</f>
        <v/>
      </c>
    </row>
    <row r="5" ht="26" customHeight="1" s="50">
      <c r="A5" s="57" t="inlineStr">
        <is>
          <t>Engineering Labor</t>
        </is>
      </c>
      <c r="B5" s="58" t="n">
        <v>3</v>
      </c>
      <c r="C5" s="59" t="n">
        <v>35000</v>
      </c>
      <c r="D5" s="60">
        <f>C5/$C$15</f>
        <v/>
      </c>
    </row>
    <row r="6" ht="26" customHeight="1" s="50">
      <c r="A6" s="53" t="inlineStr">
        <is>
          <t>Marketing</t>
        </is>
      </c>
      <c r="B6" s="54" t="n">
        <v>7</v>
      </c>
      <c r="C6" s="55" t="n">
        <v>31200</v>
      </c>
      <c r="D6" s="56">
        <f>C6/$C$15</f>
        <v/>
      </c>
    </row>
    <row r="7" ht="26" customHeight="1" s="50">
      <c r="A7" s="57" t="inlineStr">
        <is>
          <t>Professional Fees</t>
        </is>
      </c>
      <c r="B7" s="58" t="n">
        <v>5</v>
      </c>
      <c r="C7" s="59" t="n">
        <v>32000</v>
      </c>
      <c r="D7" s="60">
        <f>C7/$C$15</f>
        <v/>
      </c>
    </row>
    <row r="8" ht="26" customHeight="1" s="50">
      <c r="A8" s="53" t="inlineStr">
        <is>
          <t>Travel</t>
        </is>
      </c>
      <c r="B8" s="54" t="n">
        <v>3</v>
      </c>
      <c r="C8" s="55" t="n">
        <v>14000</v>
      </c>
      <c r="D8" s="56">
        <f>C8/$C$15</f>
        <v/>
      </c>
    </row>
    <row r="9" ht="26" customHeight="1" s="50">
      <c r="A9" s="57" t="inlineStr">
        <is>
          <t>Contingency</t>
        </is>
      </c>
      <c r="B9" s="58" t="n">
        <v>1</v>
      </c>
      <c r="C9" s="59" t="n">
        <v>22200</v>
      </c>
      <c r="D9" s="60">
        <f>C9/$C$15</f>
        <v/>
      </c>
    </row>
    <row r="10" ht="26" customHeight="1" s="50">
      <c r="A10" s="53" t="inlineStr">
        <is>
          <t>Security</t>
        </is>
      </c>
      <c r="B10" s="54" t="n">
        <v>1</v>
      </c>
      <c r="C10" s="55" t="n">
        <v>6500</v>
      </c>
      <c r="D10" s="56">
        <f>C10/$C$15</f>
        <v/>
      </c>
    </row>
    <row r="11" ht="26" customHeight="1" s="50">
      <c r="A11" s="57" t="inlineStr">
        <is>
          <t>Infrastructure</t>
        </is>
      </c>
      <c r="B11" s="58" t="n">
        <v>5</v>
      </c>
      <c r="C11" s="59" t="n">
        <v>7150</v>
      </c>
      <c r="D11" s="60">
        <f>C11/$C$15</f>
        <v/>
      </c>
    </row>
    <row r="12" ht="26" customHeight="1" s="50">
      <c r="A12" s="53" t="inlineStr">
        <is>
          <t>Support</t>
        </is>
      </c>
      <c r="B12" s="54" t="n">
        <v>2</v>
      </c>
      <c r="C12" s="55" t="n">
        <v>4000</v>
      </c>
      <c r="D12" s="56">
        <f>C12/$C$15</f>
        <v/>
      </c>
    </row>
    <row r="13" ht="26" customHeight="1" s="50">
      <c r="A13" s="57" t="inlineStr">
        <is>
          <t>Equipment</t>
        </is>
      </c>
      <c r="B13" s="58" t="n">
        <v>3</v>
      </c>
      <c r="C13" s="59" t="n">
        <v>6450</v>
      </c>
      <c r="D13" s="60">
        <f>C13/$C$15</f>
        <v/>
      </c>
    </row>
    <row r="14" ht="26" customHeight="1" s="50">
      <c r="A14" s="53" t="inlineStr">
        <is>
          <t>Insurance</t>
        </is>
      </c>
      <c r="B14" s="54" t="n">
        <v>1</v>
      </c>
      <c r="C14" s="55" t="n">
        <v>1500</v>
      </c>
      <c r="D14" s="56">
        <f>C14/$C$15</f>
        <v/>
      </c>
    </row>
    <row r="15" ht="30" customHeight="1" s="50">
      <c r="A15" s="61" t="inlineStr">
        <is>
          <t>TOTAL PROJECT</t>
        </is>
      </c>
      <c r="B15" s="62" t="n">
        <v>34</v>
      </c>
      <c r="C15" s="63" t="n">
        <v>200000</v>
      </c>
      <c r="D15" s="64">
        <f>SUM(D4:D14)</f>
        <v/>
      </c>
    </row>
    <row r="18" ht="15" customHeight="1" s="50">
      <c r="A18" s="65" t="inlineStr">
        <is>
          <t>Sources of Funds</t>
        </is>
      </c>
    </row>
    <row r="19" ht="15" customHeight="1" s="50">
      <c r="A19" s="66" t="inlineStr">
        <is>
          <t>Source</t>
        </is>
      </c>
      <c r="C19" s="66" t="inlineStr">
        <is>
          <t>Amount (CAD)</t>
        </is>
      </c>
    </row>
    <row r="20" ht="15" customHeight="1" s="50">
      <c r="A20" s="67" t="inlineStr">
        <is>
          <t>Bank Term Loan (Interest-only Y1-Y2, 5-yr amortization)</t>
        </is>
      </c>
      <c r="B20" s="68" t="n"/>
      <c r="C20" s="55" t="n">
        <v>200000</v>
      </c>
      <c r="D20" s="68" t="n"/>
    </row>
    <row r="21" ht="15" customHeight="1" s="50">
      <c r="A21" s="69" t="inlineStr">
        <is>
          <t>Owner Contribution (personal savings)</t>
        </is>
      </c>
      <c r="B21" s="68" t="n"/>
      <c r="C21" s="59" t="n">
        <v>60000</v>
      </c>
      <c r="D21" s="68" t="n"/>
    </row>
    <row r="22" ht="15" customHeight="1" s="50">
      <c r="A22" s="67" t="inlineStr">
        <is>
          <t>Existing Line of Credit (working capital reserve)</t>
        </is>
      </c>
      <c r="B22" s="68" t="n"/>
      <c r="C22" s="55" t="n">
        <v>30000</v>
      </c>
      <c r="D22" s="68" t="n"/>
    </row>
    <row r="23" ht="15" customHeight="1" s="50">
      <c r="A23" s="70" t="inlineStr">
        <is>
          <t>TOTAL SOURCES</t>
        </is>
      </c>
      <c r="B23" s="68" t="n"/>
      <c r="C23" s="71" t="n">
        <v>290000</v>
      </c>
      <c r="D23" s="68" t="n"/>
    </row>
    <row r="1048576" ht="12.8" customHeight="1" s="50"/>
  </sheetData>
  <mergeCells count="10">
    <mergeCell ref="A1:D1"/>
    <mergeCell ref="A20:B20"/>
    <mergeCell ref="A18:D18"/>
    <mergeCell ref="C20:D20"/>
    <mergeCell ref="A21:B21"/>
    <mergeCell ref="C21:D21"/>
    <mergeCell ref="C22:D22"/>
    <mergeCell ref="A23:B23"/>
    <mergeCell ref="C23:D23"/>
    <mergeCell ref="A22:B22"/>
  </mergeCells>
  <printOptions horizontalCentered="0" verticalCentered="0" headings="0" gridLines="0" gridLinesSet="1"/>
  <pageMargins left="0.75" right="0.75" top="1" bottom="1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76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38" activePane="bottomLeft" state="frozen"/>
      <selection pane="topLeft" activeCell="A1" activeCellId="0" sqref="A1"/>
      <selection pane="bottomLeft" activeCell="D66" activeCellId="0" sqref="D66"/>
    </sheetView>
  </sheetViews>
  <sheetFormatPr baseColWidth="8" defaultRowHeight="13.8" zeroHeight="0" outlineLevelRow="0"/>
  <cols>
    <col width="8" customWidth="1" style="72" min="1" max="1"/>
    <col width="50" customWidth="1" style="72" min="2" max="2"/>
    <col width="16" customWidth="1" style="72" min="3" max="3"/>
    <col width="48.01" customWidth="1" style="72" min="4" max="4"/>
    <col width="2" customWidth="1" style="72" min="5" max="1021"/>
    <col width="11.52" customWidth="1" style="72" min="1022" max="1025"/>
  </cols>
  <sheetData>
    <row r="1" ht="32" customHeight="1" s="50">
      <c r="A1" s="73" t="inlineStr">
        <is>
          <t>FORGE &amp; FLOW</t>
        </is>
      </c>
      <c r="E1" s="74" t="n"/>
      <c r="F1" s="74" t="n"/>
      <c r="G1" s="74" t="n"/>
      <c r="H1" s="74" t="n"/>
      <c r="I1" s="74" t="n"/>
    </row>
    <row r="2" ht="22" customHeight="1" s="50">
      <c r="A2" s="75" t="inlineStr">
        <is>
          <t>Project Cost Breakdown</t>
        </is>
      </c>
      <c r="E2" s="74" t="n"/>
      <c r="F2" s="74" t="n"/>
      <c r="G2" s="74" t="n"/>
      <c r="H2" s="74" t="n"/>
      <c r="I2" s="74" t="n"/>
    </row>
    <row r="3" ht="18" customHeight="1" s="50">
      <c r="A3" s="76" t="inlineStr">
        <is>
          <t>Total Project: $200,000 CAD | 34 line items | Prepared 2026-04-22 | Entity: 98296 Newfoundland &amp; Labrador Ltd</t>
        </is>
      </c>
      <c r="E3" s="74" t="n"/>
      <c r="F3" s="74" t="n"/>
      <c r="G3" s="74" t="n"/>
      <c r="H3" s="74" t="n"/>
      <c r="I3" s="74" t="n"/>
    </row>
    <row r="4" ht="13.8" customHeight="1" s="50">
      <c r="A4" s="74" t="n"/>
      <c r="B4" s="74" t="n"/>
      <c r="C4" s="74" t="n"/>
      <c r="D4" s="74" t="n"/>
      <c r="E4" s="74" t="n"/>
      <c r="F4" s="74" t="n"/>
      <c r="G4" s="74" t="n"/>
      <c r="H4" s="74" t="n"/>
      <c r="I4" s="74" t="n"/>
    </row>
    <row r="5" ht="28" customHeight="1" s="50">
      <c r="A5" s="52" t="inlineStr">
        <is>
          <t>Ref #</t>
        </is>
      </c>
      <c r="B5" s="52" t="inlineStr">
        <is>
          <t>Line Item</t>
        </is>
      </c>
      <c r="C5" s="52" t="inlineStr">
        <is>
          <t>Budget (CAD)</t>
        </is>
      </c>
      <c r="D5" s="77" t="inlineStr">
        <is>
          <t>Technologies Used</t>
        </is>
      </c>
      <c r="E5" s="74" t="n"/>
      <c r="F5" s="74" t="n"/>
      <c r="G5" s="74" t="n"/>
      <c r="H5" s="74" t="n"/>
      <c r="I5" s="74" t="n"/>
    </row>
    <row r="6" ht="26" customHeight="1" s="50">
      <c r="A6" s="78" t="inlineStr">
        <is>
          <t xml:space="preserve">   SALARIES</t>
        </is>
      </c>
      <c r="C6" s="79" t="n">
        <v>40000</v>
      </c>
      <c r="D6" s="80" t="n"/>
      <c r="E6" s="74" t="n"/>
      <c r="F6" s="74" t="n"/>
      <c r="G6" s="74" t="n"/>
      <c r="H6" s="74" t="n"/>
      <c r="I6" s="74" t="n"/>
    </row>
    <row r="7" ht="30" customHeight="1" s="50">
      <c r="A7" s="81" t="inlineStr">
        <is>
          <t>E01</t>
        </is>
      </c>
      <c r="B7" s="82" t="inlineStr">
        <is>
          <t>Said (3 months)</t>
        </is>
      </c>
      <c r="C7" s="55" t="n">
        <v>17500</v>
      </c>
      <c r="D7" s="83" t="n"/>
      <c r="E7" s="74" t="n"/>
      <c r="F7" s="74" t="n"/>
      <c r="G7" s="74" t="n"/>
      <c r="H7" s="74" t="n"/>
      <c r="I7" s="74" t="n"/>
    </row>
    <row r="8" ht="30" customHeight="1" s="50">
      <c r="A8" s="84" t="inlineStr">
        <is>
          <t>E02</t>
        </is>
      </c>
      <c r="B8" s="85" t="inlineStr">
        <is>
          <t>Vanessa (3 months)</t>
        </is>
      </c>
      <c r="C8" s="86" t="n">
        <v>17500</v>
      </c>
      <c r="D8" s="87" t="n"/>
      <c r="E8" s="74" t="n"/>
      <c r="F8" s="74" t="n"/>
      <c r="G8" s="74" t="n"/>
      <c r="H8" s="74" t="n"/>
      <c r="I8" s="74" t="n"/>
    </row>
    <row r="9" ht="30" customHeight="1" s="50">
      <c r="A9" s="81" t="inlineStr">
        <is>
          <t>E03</t>
        </is>
      </c>
      <c r="B9" s="82" t="inlineStr">
        <is>
          <t>Priya, Sales (3 months)</t>
        </is>
      </c>
      <c r="C9" s="55" t="n">
        <v>5000</v>
      </c>
      <c r="D9" s="83" t="n"/>
      <c r="E9" s="74" t="n"/>
      <c r="F9" s="74" t="n"/>
      <c r="G9" s="74" t="n"/>
      <c r="H9" s="74" t="n"/>
      <c r="I9" s="74" t="n"/>
    </row>
    <row r="10" ht="6" customHeight="1" s="50">
      <c r="A10" s="74" t="n"/>
      <c r="B10" s="74" t="n"/>
      <c r="C10" s="74" t="n"/>
      <c r="D10" s="88" t="n"/>
      <c r="E10" s="74" t="n"/>
      <c r="F10" s="74" t="n"/>
      <c r="G10" s="74" t="n"/>
      <c r="H10" s="74" t="n"/>
      <c r="I10" s="74" t="n"/>
    </row>
    <row r="11" ht="26" customHeight="1" s="50">
      <c r="A11" s="78" t="inlineStr">
        <is>
          <t xml:space="preserve">   ENGINEERING LABOR</t>
        </is>
      </c>
      <c r="C11" s="79" t="n">
        <v>35000</v>
      </c>
      <c r="D11" s="80" t="n"/>
      <c r="E11" s="74" t="n"/>
      <c r="F11" s="74" t="n"/>
      <c r="G11" s="74" t="n"/>
      <c r="H11" s="74" t="n"/>
      <c r="I11" s="74" t="n"/>
    </row>
    <row r="12" ht="30" customHeight="1" s="50">
      <c r="A12" s="81" t="inlineStr">
        <is>
          <t>E04</t>
        </is>
      </c>
      <c r="B12" s="82" t="inlineStr">
        <is>
          <t>Engineering labor (integrations)</t>
        </is>
      </c>
      <c r="C12" s="55" t="n">
        <v>20000</v>
      </c>
      <c r="D12" s="83" t="inlineStr">
        <is>
          <t>Flutter / Dart / Toast POS API / 7shifts API</t>
        </is>
      </c>
      <c r="E12" s="74" t="n"/>
      <c r="F12" s="74" t="n"/>
      <c r="G12" s="74" t="n"/>
      <c r="H12" s="74" t="n"/>
      <c r="I12" s="74" t="n"/>
    </row>
    <row r="13" ht="30" customHeight="1" s="50">
      <c r="A13" s="84" t="inlineStr">
        <is>
          <t>E05</t>
        </is>
      </c>
      <c r="B13" s="85" t="inlineStr">
        <is>
          <t>Engineering labor (backend)</t>
        </is>
      </c>
      <c r="C13" s="86" t="n">
        <v>10000</v>
      </c>
      <c r="D13" s="87" t="inlineStr">
        <is>
          <t>Firebase Cloud Functions / Google Cloud / Security Rules</t>
        </is>
      </c>
      <c r="E13" s="74" t="n"/>
      <c r="F13" s="74" t="n"/>
      <c r="G13" s="74" t="n"/>
      <c r="H13" s="74" t="n"/>
      <c r="I13" s="74" t="n"/>
    </row>
    <row r="14" ht="30" customHeight="1" s="50">
      <c r="A14" s="81" t="inlineStr">
        <is>
          <t>E06</t>
        </is>
      </c>
      <c r="B14" s="82" t="inlineStr">
        <is>
          <t>Engineering labor (user accounts)</t>
        </is>
      </c>
      <c r="C14" s="55" t="n">
        <v>5000</v>
      </c>
      <c r="D14" s="83" t="inlineStr">
        <is>
          <t>Firebase Auth / Firestore / Firebase Admin SDK</t>
        </is>
      </c>
      <c r="E14" s="74" t="n"/>
      <c r="F14" s="74" t="n"/>
      <c r="G14" s="74" t="n"/>
      <c r="H14" s="74" t="n"/>
      <c r="I14" s="74" t="n"/>
    </row>
    <row r="15" ht="6" customHeight="1" s="50">
      <c r="A15" s="74" t="n"/>
      <c r="B15" s="74" t="n"/>
      <c r="C15" s="74" t="n"/>
      <c r="D15" s="88" t="n"/>
      <c r="E15" s="74" t="n"/>
      <c r="F15" s="74" t="n"/>
      <c r="G15" s="74" t="n"/>
      <c r="H15" s="74" t="n"/>
      <c r="I15" s="74" t="n"/>
    </row>
    <row r="16" ht="26" customHeight="1" s="50">
      <c r="A16" s="78" t="inlineStr">
        <is>
          <t xml:space="preserve">   MARKETING</t>
        </is>
      </c>
      <c r="C16" s="79" t="n">
        <v>31200</v>
      </c>
      <c r="D16" s="80" t="n"/>
      <c r="E16" s="74" t="n"/>
      <c r="F16" s="74" t="n"/>
      <c r="G16" s="74" t="n"/>
      <c r="H16" s="74" t="n"/>
      <c r="I16" s="74" t="n"/>
    </row>
    <row r="17" ht="30" customHeight="1" s="50">
      <c r="A17" s="81" t="inlineStr">
        <is>
          <t>E07</t>
        </is>
      </c>
      <c r="B17" s="82" t="inlineStr">
        <is>
          <t>Marketing website</t>
        </is>
      </c>
      <c r="C17" s="55" t="n">
        <v>10000</v>
      </c>
      <c r="D17" s="83" t="inlineStr">
        <is>
          <t>Webflow or Framer / SEO tooling</t>
        </is>
      </c>
      <c r="E17" s="74" t="n"/>
      <c r="F17" s="74" t="n"/>
      <c r="G17" s="74" t="n"/>
      <c r="H17" s="74" t="n"/>
      <c r="I17" s="74" t="n"/>
    </row>
    <row r="18" ht="30" customHeight="1" s="50">
      <c r="A18" s="84" t="inlineStr">
        <is>
          <t>E08</t>
        </is>
      </c>
      <c r="B18" s="85" t="inlineStr">
        <is>
          <t>App Store Optimization</t>
        </is>
      </c>
      <c r="C18" s="86" t="n">
        <v>1200</v>
      </c>
      <c r="D18" s="87" t="inlineStr">
        <is>
          <t>App Radar (keyword research, competitor tracking, listing optimization)</t>
        </is>
      </c>
      <c r="E18" s="74" t="n"/>
      <c r="F18" s="74" t="n"/>
      <c r="G18" s="74" t="n"/>
      <c r="H18" s="74" t="n"/>
      <c r="I18" s="74" t="n"/>
    </row>
    <row r="19" ht="30" customHeight="1" s="50">
      <c r="A19" s="81" t="inlineStr">
        <is>
          <t>E09</t>
        </is>
      </c>
      <c r="B19" s="82" t="inlineStr">
        <is>
          <t>Product demo + training videos</t>
        </is>
      </c>
      <c r="C19" s="55" t="n">
        <v>4000</v>
      </c>
      <c r="D19" s="83" t="inlineStr">
        <is>
          <t>Fiverr Pro (video production)</t>
        </is>
      </c>
      <c r="E19" s="74" t="n"/>
      <c r="F19" s="74" t="n"/>
      <c r="G19" s="74" t="n"/>
      <c r="H19" s="74" t="n"/>
      <c r="I19" s="74" t="n"/>
    </row>
    <row r="20" ht="30" customHeight="1" s="50">
      <c r="A20" s="84" t="inlineStr">
        <is>
          <t>E10</t>
        </is>
      </c>
      <c r="B20" s="85" t="inlineStr">
        <is>
          <t>Trade show travel (2 people)</t>
        </is>
      </c>
      <c r="C20" s="86" t="n">
        <v>4000</v>
      </c>
      <c r="D20" s="87" t="n"/>
      <c r="E20" s="74" t="n"/>
      <c r="F20" s="74" t="n"/>
      <c r="G20" s="74" t="n"/>
      <c r="H20" s="74" t="n"/>
      <c r="I20" s="74" t="n"/>
    </row>
    <row r="21" ht="30" customHeight="1" s="50">
      <c r="A21" s="81" t="inlineStr">
        <is>
          <t>E11</t>
        </is>
      </c>
      <c r="B21" s="82" t="inlineStr">
        <is>
          <t>Sales + marketing platform + ads</t>
        </is>
      </c>
      <c r="C21" s="55" t="n">
        <v>5000</v>
      </c>
      <c r="D21" s="83" t="inlineStr">
        <is>
          <t>HubSpot CRM Suite / Mailchimp / Google+LinkedIn+Meta Ads</t>
        </is>
      </c>
      <c r="E21" s="74" t="n"/>
      <c r="F21" s="74" t="n"/>
      <c r="G21" s="74" t="n"/>
      <c r="H21" s="74" t="n"/>
      <c r="I21" s="74" t="n"/>
    </row>
    <row r="22" ht="30" customHeight="1" s="50">
      <c r="A22" s="84" t="inlineStr">
        <is>
          <t>E12</t>
        </is>
      </c>
      <c r="B22" s="85" t="inlineStr">
        <is>
          <t>Sales materials</t>
        </is>
      </c>
      <c r="C22" s="86" t="n">
        <v>2000</v>
      </c>
      <c r="D22" s="87" t="inlineStr">
        <is>
          <t>Vistaprint</t>
        </is>
      </c>
      <c r="E22" s="74" t="n"/>
      <c r="F22" s="74" t="n"/>
      <c r="G22" s="74" t="n"/>
      <c r="H22" s="74" t="n"/>
      <c r="I22" s="74" t="n"/>
    </row>
    <row r="23" ht="30" customHeight="1" s="50">
      <c r="A23" s="81" t="inlineStr">
        <is>
          <t>E13</t>
        </is>
      </c>
      <c r="B23" s="82" t="inlineStr">
        <is>
          <t>Paid acquisition reserve</t>
        </is>
      </c>
      <c r="C23" s="55" t="n">
        <v>5000</v>
      </c>
      <c r="D23" s="83" t="n"/>
      <c r="E23" s="74" t="n"/>
      <c r="F23" s="74" t="n"/>
      <c r="G23" s="74" t="n"/>
      <c r="H23" s="74" t="n"/>
      <c r="I23" s="74" t="n"/>
    </row>
    <row r="24" ht="6" customHeight="1" s="50">
      <c r="A24" s="74" t="n"/>
      <c r="B24" s="74" t="n"/>
      <c r="C24" s="74" t="n"/>
      <c r="D24" s="88" t="n"/>
      <c r="E24" s="74" t="n"/>
      <c r="F24" s="74" t="n"/>
      <c r="G24" s="74" t="n"/>
      <c r="H24" s="74" t="n"/>
      <c r="I24" s="74" t="n"/>
    </row>
    <row r="25" ht="26" customHeight="1" s="50">
      <c r="A25" s="78" t="inlineStr">
        <is>
          <t xml:space="preserve">   PROFESSIONAL FEES</t>
        </is>
      </c>
      <c r="C25" s="79" t="n">
        <v>32000</v>
      </c>
      <c r="D25" s="80" t="n"/>
      <c r="E25" s="74" t="n"/>
      <c r="F25" s="74" t="n"/>
      <c r="G25" s="74" t="n"/>
      <c r="H25" s="74" t="n"/>
      <c r="I25" s="74" t="n"/>
    </row>
    <row r="26" ht="30" customHeight="1" s="50">
      <c r="A26" s="81" t="inlineStr">
        <is>
          <t>E14</t>
        </is>
      </c>
      <c r="B26" s="82" t="inlineStr">
        <is>
          <t>Trademark filing (Forge &amp; Flow)</t>
        </is>
      </c>
      <c r="C26" s="55" t="n">
        <v>3000</v>
      </c>
      <c r="D26" s="83" t="inlineStr">
        <is>
          <t>CIPO filing + IP agent (Heer Law reference)</t>
        </is>
      </c>
      <c r="E26" s="74" t="n"/>
      <c r="F26" s="74" t="n"/>
      <c r="G26" s="74" t="n"/>
      <c r="H26" s="74" t="n"/>
      <c r="I26" s="74" t="n"/>
    </row>
    <row r="27" ht="30" customHeight="1" s="50">
      <c r="A27" s="84" t="inlineStr">
        <is>
          <t>E15</t>
        </is>
      </c>
      <c r="B27" s="85" t="inlineStr">
        <is>
          <t>Restaurant ops advisor (Jim Taylor)</t>
        </is>
      </c>
      <c r="C27" s="86" t="n">
        <v>8000</v>
      </c>
      <c r="D27" s="87" t="n"/>
      <c r="E27" s="74" t="n"/>
      <c r="F27" s="74" t="n"/>
      <c r="G27" s="74" t="n"/>
      <c r="H27" s="74" t="n"/>
      <c r="I27" s="74" t="n"/>
    </row>
    <row r="28" ht="30" customHeight="1" s="50">
      <c r="A28" s="81" t="inlineStr">
        <is>
          <t>E16</t>
        </is>
      </c>
      <c r="B28" s="82" t="inlineStr">
        <is>
          <t>SaaS growth coaching (Dan Martell)</t>
        </is>
      </c>
      <c r="C28" s="55" t="n">
        <v>10000</v>
      </c>
      <c r="D28" s="83" t="n"/>
      <c r="E28" s="74" t="n"/>
      <c r="F28" s="74" t="n"/>
      <c r="G28" s="74" t="n"/>
      <c r="H28" s="74" t="n"/>
      <c r="I28" s="74" t="n"/>
    </row>
    <row r="29" ht="30" customHeight="1" s="50">
      <c r="A29" s="84" t="inlineStr">
        <is>
          <t>E17</t>
        </is>
      </c>
      <c r="B29" s="85" t="inlineStr">
        <is>
          <t>Accounting + bookkeeping</t>
        </is>
      </c>
      <c r="C29" s="86" t="n">
        <v>6000</v>
      </c>
      <c r="D29" s="87" t="inlineStr">
        <is>
          <t>QuickBooks or Xero</t>
        </is>
      </c>
      <c r="E29" s="74" t="n"/>
      <c r="F29" s="74" t="n"/>
      <c r="G29" s="74" t="n"/>
      <c r="H29" s="74" t="n"/>
      <c r="I29" s="74" t="n"/>
    </row>
    <row r="30" ht="30" customHeight="1" s="50">
      <c r="A30" s="81" t="inlineStr">
        <is>
          <t>E18</t>
        </is>
      </c>
      <c r="B30" s="82" t="inlineStr">
        <is>
          <t>Legal counsel (contracts + IP assignment)</t>
        </is>
      </c>
      <c r="C30" s="55" t="n">
        <v>5000</v>
      </c>
      <c r="D30" s="83" t="n"/>
      <c r="E30" s="74" t="n"/>
      <c r="F30" s="74" t="n"/>
      <c r="G30" s="74" t="n"/>
      <c r="H30" s="74" t="n"/>
      <c r="I30" s="74" t="n"/>
    </row>
    <row r="31" ht="6" customHeight="1" s="50">
      <c r="A31" s="74" t="n"/>
      <c r="B31" s="74" t="n"/>
      <c r="C31" s="74" t="n"/>
      <c r="D31" s="88" t="n"/>
      <c r="E31" s="74" t="n"/>
      <c r="F31" s="74" t="n"/>
      <c r="G31" s="74" t="n"/>
      <c r="H31" s="74" t="n"/>
      <c r="I31" s="74" t="n"/>
    </row>
    <row r="32" ht="26" customHeight="1" s="50">
      <c r="A32" s="78" t="inlineStr">
        <is>
          <t xml:space="preserve">   TRAVEL</t>
        </is>
      </c>
      <c r="C32" s="79" t="n">
        <v>14000</v>
      </c>
      <c r="D32" s="80" t="n"/>
      <c r="E32" s="74" t="n"/>
      <c r="F32" s="74" t="n"/>
      <c r="G32" s="74" t="n"/>
      <c r="H32" s="74" t="n"/>
      <c r="I32" s="74" t="n"/>
    </row>
    <row r="33" ht="30" customHeight="1" s="50">
      <c r="A33" s="81" t="inlineStr">
        <is>
          <t>E19</t>
        </is>
      </c>
      <c r="B33" s="82" t="inlineStr">
        <is>
          <t>Trade show trip (founder)</t>
        </is>
      </c>
      <c r="C33" s="55" t="n">
        <v>3500</v>
      </c>
      <c r="D33" s="83" t="n"/>
      <c r="E33" s="74" t="n"/>
      <c r="F33" s="74" t="n"/>
      <c r="G33" s="74" t="n"/>
      <c r="H33" s="74" t="n"/>
      <c r="I33" s="74" t="n"/>
    </row>
    <row r="34" ht="30" customHeight="1" s="50">
      <c r="A34" s="84" t="inlineStr">
        <is>
          <t>E20</t>
        </is>
      </c>
      <c r="B34" s="85" t="inlineStr">
        <is>
          <t>Pilot customer site visits</t>
        </is>
      </c>
      <c r="C34" s="86" t="n">
        <v>8000</v>
      </c>
      <c r="D34" s="87" t="n"/>
      <c r="E34" s="74" t="n"/>
      <c r="F34" s="74" t="n"/>
      <c r="G34" s="74" t="n"/>
      <c r="H34" s="74" t="n"/>
      <c r="I34" s="74" t="n"/>
    </row>
    <row r="35" ht="30" customHeight="1" s="50">
      <c r="A35" s="81" t="inlineStr">
        <is>
          <t>E21</t>
        </is>
      </c>
      <c r="B35" s="82" t="inlineStr">
        <is>
          <t>Industry conference attendance</t>
        </is>
      </c>
      <c r="C35" s="55" t="n">
        <v>2500</v>
      </c>
      <c r="D35" s="83" t="n"/>
      <c r="E35" s="74" t="n"/>
      <c r="F35" s="74" t="n"/>
      <c r="G35" s="74" t="n"/>
      <c r="H35" s="74" t="n"/>
      <c r="I35" s="74" t="n"/>
    </row>
    <row r="36" ht="6" customHeight="1" s="50">
      <c r="A36" s="74" t="n"/>
      <c r="B36" s="74" t="n"/>
      <c r="C36" s="74" t="n"/>
      <c r="D36" s="88" t="n"/>
      <c r="E36" s="74" t="n"/>
      <c r="F36" s="74" t="n"/>
      <c r="G36" s="74" t="n"/>
      <c r="H36" s="74" t="n"/>
      <c r="I36" s="74" t="n"/>
    </row>
    <row r="37" ht="26" customHeight="1" s="50">
      <c r="A37" s="78" t="inlineStr">
        <is>
          <t xml:space="preserve">   CONTINGENCY</t>
        </is>
      </c>
      <c r="C37" s="79" t="n">
        <v>22200</v>
      </c>
      <c r="D37" s="80" t="n"/>
      <c r="E37" s="74" t="n"/>
      <c r="F37" s="74" t="n"/>
      <c r="G37" s="74" t="n"/>
      <c r="H37" s="74" t="n"/>
      <c r="I37" s="74" t="n"/>
    </row>
    <row r="38" ht="30" customHeight="1" s="50">
      <c r="A38" s="81" t="inlineStr">
        <is>
          <t>E22</t>
        </is>
      </c>
      <c r="B38" s="82" t="inlineStr">
        <is>
          <t>Contingency reserve</t>
        </is>
      </c>
      <c r="C38" s="55" t="n">
        <v>22200</v>
      </c>
      <c r="D38" s="83" t="n"/>
      <c r="E38" s="74" t="n"/>
      <c r="F38" s="74" t="n"/>
      <c r="G38" s="74" t="n"/>
      <c r="H38" s="74" t="n"/>
      <c r="I38" s="74" t="n"/>
    </row>
    <row r="39" ht="6" customHeight="1" s="50">
      <c r="A39" s="74" t="n"/>
      <c r="B39" s="74" t="n"/>
      <c r="C39" s="74" t="n"/>
      <c r="D39" s="88" t="n"/>
      <c r="E39" s="74" t="n"/>
      <c r="F39" s="74" t="n"/>
      <c r="G39" s="74" t="n"/>
      <c r="H39" s="74" t="n"/>
      <c r="I39" s="74" t="n"/>
    </row>
    <row r="40" ht="26" customHeight="1" s="50">
      <c r="A40" s="78" t="inlineStr">
        <is>
          <t xml:space="preserve">   SECURITY</t>
        </is>
      </c>
      <c r="C40" s="79" t="n">
        <v>6500</v>
      </c>
      <c r="D40" s="80" t="n"/>
      <c r="E40" s="74" t="n"/>
      <c r="F40" s="74" t="n"/>
      <c r="G40" s="74" t="n"/>
      <c r="H40" s="74" t="n"/>
      <c r="I40" s="74" t="n"/>
    </row>
    <row r="41" ht="30" customHeight="1" s="50">
      <c r="A41" s="81" t="inlineStr">
        <is>
          <t>E23</t>
        </is>
      </c>
      <c r="B41" s="82" t="inlineStr">
        <is>
          <t>Security audit before launch</t>
        </is>
      </c>
      <c r="C41" s="55" t="n">
        <v>6500</v>
      </c>
      <c r="D41" s="89" t="inlineStr">
        <is>
          <t>Astra Pentest / Bulletproof Solutions</t>
        </is>
      </c>
      <c r="E41" s="74" t="n"/>
      <c r="F41" s="74" t="n"/>
      <c r="G41" s="74" t="n"/>
      <c r="H41" s="74" t="n"/>
      <c r="I41" s="74" t="n"/>
    </row>
    <row r="42" ht="6" customHeight="1" s="50">
      <c r="A42" s="74" t="n"/>
      <c r="B42" s="74" t="n"/>
      <c r="C42" s="74" t="n"/>
      <c r="D42" s="74" t="n"/>
      <c r="E42" s="74" t="n"/>
      <c r="F42" s="74" t="n"/>
      <c r="G42" s="74" t="n"/>
      <c r="H42" s="74" t="n"/>
      <c r="I42" s="74" t="n"/>
    </row>
    <row r="43" ht="26" customHeight="1" s="50">
      <c r="A43" s="78" t="inlineStr">
        <is>
          <t xml:space="preserve">   INFRASTRUCTURE</t>
        </is>
      </c>
      <c r="C43" s="79" t="n">
        <v>7150</v>
      </c>
      <c r="D43" s="90" t="n"/>
      <c r="E43" s="74" t="n"/>
      <c r="F43" s="74" t="n"/>
      <c r="G43" s="74" t="n"/>
      <c r="H43" s="74" t="n"/>
      <c r="I43" s="74" t="n"/>
    </row>
    <row r="44" ht="30" customHeight="1" s="50">
      <c r="A44" s="81" t="inlineStr">
        <is>
          <t>E24</t>
        </is>
      </c>
      <c r="B44" s="82" t="inlineStr">
        <is>
          <t>Cloud hosting (Firebase)</t>
        </is>
      </c>
      <c r="C44" s="55" t="n">
        <v>3000</v>
      </c>
      <c r="D44" s="89" t="inlineStr">
        <is>
          <t>Firebase (Auth, Firestore, Functions, Storage)</t>
        </is>
      </c>
      <c r="E44" s="74" t="n"/>
      <c r="F44" s="74" t="n"/>
      <c r="G44" s="74" t="n"/>
      <c r="H44" s="74" t="n"/>
      <c r="I44" s="74" t="n"/>
    </row>
    <row r="45" ht="30" customHeight="1" s="50">
      <c r="A45" s="84" t="inlineStr">
        <is>
          <t>E25</t>
        </is>
      </c>
      <c r="B45" s="85" t="inlineStr">
        <is>
          <t>App monitoring + alerts</t>
        </is>
      </c>
      <c r="C45" s="86" t="n">
        <v>1000</v>
      </c>
      <c r="D45" s="91" t="inlineStr">
        <is>
          <t>Sentry / BetterStack</t>
        </is>
      </c>
      <c r="E45" s="74" t="n"/>
      <c r="F45" s="74" t="n"/>
      <c r="G45" s="74" t="n"/>
      <c r="H45" s="74" t="n"/>
      <c r="I45" s="74" t="n"/>
    </row>
    <row r="46" ht="30" customHeight="1" s="50">
      <c r="A46" s="81" t="inlineStr">
        <is>
          <t>E26</t>
        </is>
      </c>
      <c r="B46" s="82" t="inlineStr">
        <is>
          <t>AI coding assistants</t>
        </is>
      </c>
      <c r="C46" s="55" t="n">
        <v>1500</v>
      </c>
      <c r="D46" s="89" t="inlineStr">
        <is>
          <t>Claude Pro / ChatGPT Plus</t>
        </is>
      </c>
      <c r="E46" s="74" t="n"/>
      <c r="F46" s="74" t="n"/>
      <c r="G46" s="74" t="n"/>
      <c r="H46" s="74" t="n"/>
      <c r="I46" s="74" t="n"/>
    </row>
    <row r="47" ht="30" customHeight="1" s="50">
      <c r="A47" s="84" t="inlineStr">
        <is>
          <t>E27</t>
        </is>
      </c>
      <c r="B47" s="85" t="inlineStr">
        <is>
          <t>Software development tools</t>
        </is>
      </c>
      <c r="C47" s="86" t="n">
        <v>1200</v>
      </c>
      <c r="D47" s="91" t="inlineStr">
        <is>
          <t>GitHub / Figma / 1Password</t>
        </is>
      </c>
      <c r="E47" s="74" t="n"/>
      <c r="F47" s="74" t="n"/>
      <c r="G47" s="74" t="n"/>
      <c r="H47" s="74" t="n"/>
      <c r="I47" s="74" t="n"/>
    </row>
    <row r="48" ht="30" customHeight="1" s="50">
      <c r="A48" s="81" t="inlineStr">
        <is>
          <t>E28</t>
        </is>
      </c>
      <c r="B48" s="82" t="inlineStr">
        <is>
          <t>App store + email subscriptions</t>
        </is>
      </c>
      <c r="C48" s="55" t="n">
        <v>450</v>
      </c>
      <c r="D48" s="89" t="inlineStr">
        <is>
          <t>Apple Developer / Google Play / Google Workspace</t>
        </is>
      </c>
      <c r="E48" s="74" t="n"/>
      <c r="F48" s="74" t="n"/>
      <c r="G48" s="74" t="n"/>
      <c r="H48" s="74" t="n"/>
      <c r="I48" s="74" t="n"/>
    </row>
    <row r="49" ht="6" customHeight="1" s="50">
      <c r="A49" s="74" t="n"/>
      <c r="B49" s="74" t="n"/>
      <c r="C49" s="74" t="n"/>
      <c r="D49" s="74" t="n"/>
      <c r="E49" s="74" t="n"/>
      <c r="F49" s="74" t="n"/>
      <c r="G49" s="74" t="n"/>
      <c r="H49" s="74" t="n"/>
      <c r="I49" s="74" t="n"/>
    </row>
    <row r="50" ht="26" customHeight="1" s="50">
      <c r="A50" s="78" t="inlineStr">
        <is>
          <t xml:space="preserve">   SUPPORT</t>
        </is>
      </c>
      <c r="C50" s="79" t="n">
        <v>4000</v>
      </c>
      <c r="D50" s="90" t="n"/>
      <c r="E50" s="74" t="n"/>
      <c r="F50" s="74" t="n"/>
      <c r="G50" s="74" t="n"/>
      <c r="H50" s="74" t="n"/>
      <c r="I50" s="74" t="n"/>
    </row>
    <row r="51" ht="30" customHeight="1" s="50">
      <c r="A51" s="81" t="inlineStr">
        <is>
          <t>E29</t>
        </is>
      </c>
      <c r="B51" s="82" t="inlineStr">
        <is>
          <t>Customer support ticketing</t>
        </is>
      </c>
      <c r="C51" s="55" t="n">
        <v>1000</v>
      </c>
      <c r="D51" s="89" t="inlineStr">
        <is>
          <t>HelpScout</t>
        </is>
      </c>
      <c r="E51" s="74" t="n"/>
      <c r="F51" s="74" t="n"/>
      <c r="G51" s="74" t="n"/>
      <c r="H51" s="74" t="n"/>
      <c r="I51" s="74" t="n"/>
    </row>
    <row r="52" ht="30" customHeight="1" s="50">
      <c r="A52" s="84" t="inlineStr">
        <is>
          <t>E30</t>
        </is>
      </c>
      <c r="B52" s="85" t="inlineStr">
        <is>
          <t>24/7 virtual assistants</t>
        </is>
      </c>
      <c r="C52" s="86" t="n">
        <v>3000</v>
      </c>
      <c r="D52" s="91" t="inlineStr">
        <is>
          <t>Time etc</t>
        </is>
      </c>
      <c r="E52" s="74" t="n"/>
      <c r="F52" s="74" t="n"/>
      <c r="G52" s="74" t="n"/>
      <c r="H52" s="74" t="n"/>
      <c r="I52" s="74" t="n"/>
    </row>
    <row r="53" ht="6" customHeight="1" s="50">
      <c r="A53" s="74" t="n"/>
      <c r="B53" s="74" t="n"/>
      <c r="C53" s="74" t="n"/>
      <c r="D53" s="74" t="n"/>
      <c r="E53" s="74" t="n"/>
      <c r="F53" s="74" t="n"/>
      <c r="G53" s="74" t="n"/>
      <c r="H53" s="74" t="n"/>
      <c r="I53" s="74" t="n"/>
    </row>
    <row r="54" ht="26" customHeight="1" s="50">
      <c r="A54" s="78" t="inlineStr">
        <is>
          <t xml:space="preserve">   EQUIPMENT</t>
        </is>
      </c>
      <c r="C54" s="79" t="n">
        <v>6450</v>
      </c>
      <c r="D54" s="90" t="n"/>
      <c r="E54" s="74" t="n"/>
      <c r="F54" s="74" t="n"/>
      <c r="G54" s="74" t="n"/>
      <c r="H54" s="74" t="n"/>
      <c r="I54" s="74" t="n"/>
    </row>
    <row r="55" ht="30" customHeight="1" s="50">
      <c r="A55" s="81" t="inlineStr">
        <is>
          <t>E31</t>
        </is>
      </c>
      <c r="B55" s="82" t="inlineStr">
        <is>
          <t>Vanessa and Priya work laptops</t>
        </is>
      </c>
      <c r="C55" s="55" t="n">
        <v>3300</v>
      </c>
      <c r="D55" s="89" t="inlineStr">
        <is>
          <t>ASUS ROG Zephyrus G14 / Lenovo Legion Slim 5 (or equivalent)</t>
        </is>
      </c>
      <c r="E55" s="74" t="n"/>
      <c r="F55" s="74" t="n"/>
      <c r="G55" s="74" t="n"/>
      <c r="H55" s="74" t="n"/>
      <c r="I55" s="74" t="n"/>
    </row>
    <row r="56" ht="30" customHeight="1" s="50">
      <c r="A56" s="84" t="inlineStr">
        <is>
          <t>E32</t>
        </is>
      </c>
      <c r="B56" s="85" t="inlineStr">
        <is>
          <t>MacBook (iOS app development)</t>
        </is>
      </c>
      <c r="C56" s="86" t="n">
        <v>1900</v>
      </c>
      <c r="D56" s="91" t="inlineStr">
        <is>
          <t>MacBook Pro 14-inch M5 / Xcode</t>
        </is>
      </c>
      <c r="E56" s="74" t="n"/>
      <c r="F56" s="74" t="n"/>
      <c r="G56" s="74" t="n"/>
      <c r="H56" s="74" t="n"/>
      <c r="I56" s="74" t="n"/>
    </row>
    <row r="57" ht="30" customHeight="1" s="50">
      <c r="A57" s="81" t="inlineStr">
        <is>
          <t>E33</t>
        </is>
      </c>
      <c r="B57" s="82" t="inlineStr">
        <is>
          <t>Dev-unlocked test phones (iOS + Android)</t>
        </is>
      </c>
      <c r="C57" s="55" t="n">
        <v>1250</v>
      </c>
      <c r="D57" s="89" t="inlineStr">
        <is>
          <t>Samsung Galaxy A25 / iPhone 17e, Need Developer options unlocked</t>
        </is>
      </c>
      <c r="E57" s="74" t="n"/>
      <c r="F57" s="74" t="n"/>
      <c r="G57" s="74" t="n"/>
      <c r="H57" s="74" t="n"/>
      <c r="I57" s="74" t="n"/>
    </row>
    <row r="58" ht="6" customHeight="1" s="50">
      <c r="A58" s="74" t="n"/>
      <c r="B58" s="74" t="n"/>
      <c r="C58" s="88" t="n"/>
      <c r="D58" s="74" t="n"/>
      <c r="E58" s="74" t="n"/>
      <c r="F58" s="74" t="n"/>
      <c r="G58" s="74" t="n"/>
      <c r="H58" s="74" t="n"/>
      <c r="I58" s="74" t="n"/>
    </row>
    <row r="59" ht="26" customHeight="1" s="50">
      <c r="A59" s="78" t="inlineStr">
        <is>
          <t xml:space="preserve">   INSURANCE</t>
        </is>
      </c>
      <c r="C59" s="79" t="n">
        <v>1500</v>
      </c>
      <c r="D59" s="90" t="n"/>
      <c r="E59" s="74" t="n"/>
      <c r="F59" s="74" t="n"/>
      <c r="G59" s="74" t="n"/>
      <c r="H59" s="74" t="n"/>
      <c r="I59" s="74" t="n"/>
    </row>
    <row r="60" ht="30" customHeight="1" s="50">
      <c r="A60" s="81" t="inlineStr">
        <is>
          <t>E34</t>
        </is>
      </c>
      <c r="B60" s="82" t="inlineStr">
        <is>
          <t>Business insurance</t>
        </is>
      </c>
      <c r="C60" s="55" t="n">
        <v>1500</v>
      </c>
      <c r="D60" s="89" t="n"/>
      <c r="E60" s="74" t="n"/>
      <c r="F60" s="74" t="n"/>
      <c r="G60" s="74" t="n"/>
      <c r="H60" s="74" t="n"/>
      <c r="I60" s="74" t="n"/>
    </row>
    <row r="61" ht="6" customHeight="1" s="50">
      <c r="A61" s="74" t="n"/>
      <c r="B61" s="74" t="n"/>
      <c r="C61" s="88" t="n"/>
      <c r="D61" s="74" t="n"/>
      <c r="E61" s="74" t="n"/>
      <c r="F61" s="74" t="n"/>
      <c r="G61" s="74" t="n"/>
      <c r="H61" s="74" t="n"/>
      <c r="I61" s="74" t="n"/>
    </row>
    <row r="62" ht="34" customHeight="1" s="50">
      <c r="A62" s="92" t="inlineStr">
        <is>
          <t>TOTAL PROJECT</t>
        </is>
      </c>
      <c r="C62" s="93" t="n">
        <v>200000</v>
      </c>
      <c r="D62" s="94" t="n"/>
      <c r="E62" s="74" t="n"/>
      <c r="F62" s="74" t="n"/>
      <c r="G62" s="74" t="n"/>
      <c r="H62" s="74" t="n"/>
      <c r="I62" s="74" t="n"/>
    </row>
    <row r="63" ht="13.8" customHeight="1" s="50">
      <c r="A63" s="74" t="n"/>
      <c r="B63" s="74" t="n"/>
      <c r="C63" s="88" t="n"/>
      <c r="D63" s="74" t="n"/>
      <c r="E63" s="74" t="n"/>
      <c r="F63" s="74" t="n"/>
      <c r="G63" s="74" t="n"/>
      <c r="H63" s="74" t="n"/>
      <c r="I63" s="74" t="n"/>
    </row>
    <row r="64" ht="13.8" customHeight="1" s="50">
      <c r="A64" s="74" t="n"/>
      <c r="B64" s="74" t="n"/>
      <c r="C64" s="74" t="n"/>
      <c r="D64" s="74" t="n"/>
      <c r="E64" s="74" t="n"/>
      <c r="F64" s="74" t="n"/>
      <c r="G64" s="74" t="n"/>
      <c r="H64" s="74" t="n"/>
      <c r="I64" s="74" t="n"/>
    </row>
    <row r="65" ht="13.8" customHeight="1" s="50">
      <c r="A65" s="74" t="n"/>
      <c r="B65" s="74" t="n"/>
      <c r="C65" s="74" t="n"/>
      <c r="D65" s="74" t="n"/>
      <c r="E65" s="74" t="n"/>
      <c r="F65" s="74" t="n"/>
      <c r="G65" s="74" t="n"/>
      <c r="H65" s="74" t="n"/>
      <c r="I65" s="74" t="n"/>
    </row>
    <row r="66" ht="13.8" customHeight="1" s="50">
      <c r="A66" s="74" t="n"/>
      <c r="B66" s="74" t="n"/>
      <c r="C66" s="74" t="n"/>
      <c r="D66" s="74" t="n"/>
      <c r="E66" s="74" t="n"/>
      <c r="F66" s="74" t="n"/>
      <c r="G66" s="74" t="n"/>
      <c r="H66" s="74" t="n"/>
      <c r="I66" s="74" t="n"/>
    </row>
    <row r="67" ht="13.8" customHeight="1" s="50">
      <c r="A67" s="74" t="n"/>
      <c r="B67" s="74" t="n"/>
      <c r="C67" s="74" t="n"/>
      <c r="D67" s="74" t="n"/>
      <c r="E67" s="74" t="n"/>
      <c r="F67" s="74" t="n"/>
      <c r="G67" s="74" t="n"/>
      <c r="H67" s="74" t="n"/>
      <c r="I67" s="74" t="n"/>
    </row>
    <row r="68" ht="13.8" customHeight="1" s="50">
      <c r="A68" s="74" t="n"/>
      <c r="B68" s="74" t="n"/>
      <c r="C68" s="74" t="n"/>
      <c r="D68" s="74" t="n"/>
      <c r="E68" s="74" t="n"/>
      <c r="F68" s="74" t="n"/>
      <c r="G68" s="74" t="n"/>
      <c r="H68" s="74" t="n"/>
      <c r="I68" s="74" t="n"/>
    </row>
    <row r="69" ht="13.8" customHeight="1" s="50">
      <c r="A69" s="74" t="n"/>
      <c r="B69" s="74" t="n"/>
      <c r="C69" s="74" t="n"/>
      <c r="D69" s="74" t="n"/>
      <c r="E69" s="74" t="n"/>
      <c r="F69" s="74" t="n"/>
      <c r="G69" s="74" t="n"/>
      <c r="H69" s="74" t="n"/>
      <c r="I69" s="74" t="n"/>
    </row>
    <row r="70" ht="13.8" customHeight="1" s="50">
      <c r="A70" s="74" t="n"/>
      <c r="B70" s="74" t="n"/>
      <c r="C70" s="74" t="n"/>
      <c r="D70" s="74" t="n"/>
      <c r="E70" s="74" t="n"/>
      <c r="F70" s="74" t="n"/>
      <c r="G70" s="74" t="n"/>
      <c r="H70" s="74" t="n"/>
      <c r="I70" s="74" t="n"/>
    </row>
    <row r="71" ht="13.8" customHeight="1" s="50">
      <c r="A71" s="74" t="n"/>
      <c r="B71" s="74" t="n"/>
      <c r="C71" s="74" t="n"/>
      <c r="D71" s="74" t="n"/>
      <c r="E71" s="74" t="n"/>
      <c r="F71" s="74" t="n"/>
      <c r="G71" s="74" t="n"/>
      <c r="H71" s="74" t="n"/>
      <c r="I71" s="74" t="n"/>
    </row>
    <row r="72" ht="13.8" customHeight="1" s="50">
      <c r="A72" s="74" t="n"/>
      <c r="B72" s="74" t="n"/>
      <c r="C72" s="74" t="n"/>
      <c r="D72" s="74" t="n"/>
      <c r="E72" s="74" t="n"/>
      <c r="F72" s="74" t="n"/>
      <c r="G72" s="74" t="n"/>
      <c r="H72" s="74" t="n"/>
      <c r="I72" s="74" t="n"/>
    </row>
    <row r="73" ht="13.8" customHeight="1" s="50">
      <c r="E73" s="49" t="n"/>
      <c r="F73" s="49" t="n"/>
      <c r="G73" s="49" t="n"/>
      <c r="H73" s="49" t="n"/>
      <c r="I73" s="49" t="n"/>
    </row>
    <row r="74" ht="13.8" customHeight="1" s="50">
      <c r="E74" s="49" t="n"/>
      <c r="F74" s="49" t="n"/>
      <c r="G74" s="49" t="n"/>
      <c r="H74" s="49" t="n"/>
      <c r="I74" s="49" t="n"/>
    </row>
    <row r="75" ht="13.8" customHeight="1" s="50">
      <c r="E75" s="49" t="n"/>
      <c r="F75" s="49" t="n"/>
      <c r="G75" s="49" t="n"/>
      <c r="H75" s="49" t="n"/>
      <c r="I75" s="49" t="n"/>
    </row>
    <row r="76" ht="13.8" customHeight="1" s="50">
      <c r="E76" s="49" t="n"/>
      <c r="F76" s="49" t="n"/>
      <c r="G76" s="49" t="n"/>
      <c r="H76" s="49" t="n"/>
      <c r="I76" s="49" t="n"/>
    </row>
  </sheetData>
  <mergeCells count="15">
    <mergeCell ref="A62:B62"/>
    <mergeCell ref="A1:D1"/>
    <mergeCell ref="A16:B16"/>
    <mergeCell ref="A54:B54"/>
    <mergeCell ref="A59:B59"/>
    <mergeCell ref="A25:B25"/>
    <mergeCell ref="A43:B43"/>
    <mergeCell ref="A11:B11"/>
    <mergeCell ref="A3:D3"/>
    <mergeCell ref="A37:B37"/>
    <mergeCell ref="A32:B32"/>
    <mergeCell ref="A2:D2"/>
    <mergeCell ref="A40:B40"/>
    <mergeCell ref="A6:B6"/>
    <mergeCell ref="A50:B50"/>
  </mergeCells>
  <printOptions horizontalCentered="0" verticalCentered="0" headings="0" gridLines="0" gridLinesSet="1"/>
  <pageMargins left="0.75" right="0.75" top="1" bottom="1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en-CA</dc:language>
  <dcterms:created xsi:type="dcterms:W3CDTF">2026-04-22T01:07:08Z</dcterms:created>
  <dcterms:modified xsi:type="dcterms:W3CDTF">2026-04-22T06:56:40Z</dcterms:modified>
  <cp:revision>27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3.1</vt:lpwstr>
  </property>
</Properties>
</file>